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Evaluation Template" sheetId="2" r:id="rId6"/>
    <sheet state="visible" name="Evaluation Template Used In the" sheetId="3" r:id="rId7"/>
    <sheet state="visible" name="Example Completed Evaluation fr"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tc={2f5332f5-e67b-48d1-9bd5-dd827deaa0a6}</author>
  </authors>
  <commentList>
    <comment authorId="0" xr:uid="{2f5332f5-e67b-48d1-9bd5-dd827deaa0a6}" ref="A1">
      <text>
        <t xml:space="preserve">[Threaded comment]
 Your version of Excel allows you to read this threaded comment; however, any edits to it will get removed if the file is opened in a newer version of Excel. Learn more: https://go.microsoft.com/fwlink/?linkid=870924
Comment:
	Create instructions for each map type that I think would pass.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tc={b13944b5-9ce6-4c81-9e67-1c64c42a8ca5}</author>
    <author>tc={d8aef53f-3549-438c-a4fb-9b8410568528}</author>
    <author>tc={e38a7c97-9852-4004-ba5c-6c663f1d0347}</author>
  </authors>
  <commentList>
    <comment authorId="0" xr:uid="{b13944b5-9ce6-4c81-9e67-1c64c42a8ca5}" ref="B19">
      <text>
        <t xml:space="preserve">[Threaded comment]
 Your version of Excel allows you to read this threaded comment; however, any edits to it will get removed if the file is opened in a newer version of Excel. Learn more: https://go.microsoft.com/fwlink/?linkid=870924
Comment:
	the blue line information.
Reply:
	There are blue dots for 0.2 miles.
Reply:
	The blue line follows one side of the road, so you always know the side of the road. Crossing of the street is given.
There is an indication of lights or stop signs, but they are not related to the blue line.
</t>
      </text>
    </comment>
    <comment authorId="1" xr:uid="{d8aef53f-3549-438c-a4fb-9b8410568528}" ref="B26">
      <text>
        <t xml:space="preserve">[Threaded comment]
 Your version of Excel allows you to read this threaded comment; however, any edits to it will get removed if the file is opened in a newer version of Excel. Learn more: https://go.microsoft.com/fwlink/?linkid=870924
Comment:
	focus on the coordinates piece.
</t>
      </text>
    </comment>
    <comment authorId="2" xr:uid="{e38a7c97-9852-4004-ba5c-6c663f1d0347}" ref="B23">
      <text>
        <t xml:space="preserve">[Threaded comment]
 Your version of Excel allows you to read this threaded comment; however, any edits to it will get removed if the file is opened in a newer version of Excel. Learn more: https://go.microsoft.com/fwlink/?linkid=870924
Comment:
	write more details on using the Audiom for each area of the map.
</t>
      </text>
    </comment>
  </commentList>
</comments>
</file>

<file path=xl/sharedStrings.xml><?xml version="1.0" encoding="utf-8"?>
<sst xmlns="http://schemas.openxmlformats.org/spreadsheetml/2006/main" count="525" uniqueCount="226">
  <si>
    <t>Source:</t>
  </si>
  <si>
    <r>
      <rPr/>
      <t xml:space="preserve">The paper presenting this paper can be found at:
https://arxiv.org/abs/2512.05310
A Google Sheet of this document can be found at:
</t>
    </r>
    <r>
      <rPr>
        <color rgb="FF1155CC"/>
        <u/>
      </rPr>
      <t>https://docs.google.com/spreadsheets/d/1led7iIbWMd_6RaMkZYqd27zelX1H18YIlqYR40OkSis/edit?gid=83976719#gid=83976719</t>
    </r>
  </si>
  <si>
    <t>Summary:</t>
  </si>
  <si>
    <t>This sheet is a tool to systematically evaluate the equivalent purpose of map representations against a given baseline map. It is meant to be used by sighted people to determine if a text map serves the equivalent purpose to a visual map. Columns A through D are the framework areas, description of the areas, and examples. Each column to the right of D is a map evaluation. Column C, Row Description, is a description of the current row for a detailed explanation of what should be present in that row. Column D is an example of what should be present in the row. Blind people can use this framework to identify what may be missing from a map, but they are unable to perform an evaluation to determine equivalent purpose on their own unless the baseline map is auditory or tactile.</t>
  </si>
  <si>
    <t>When you go through the evaluation areas below, write "yes" or "no", and a description of why each area failed or how it passed the test.</t>
  </si>
  <si>
    <t>To start, make a copy of the "Evaluation Template" sheet, and rename it to "&lt;Your Name&gt; Evaluation".</t>
  </si>
  <si>
    <t>Preparing the maps:</t>
  </si>
  <si>
    <t>Note: If you were provided a set of maps to evaluate, and rows 1-4 have been filled, then this phase has been completed. Skip to the Purpose map Evaluation Steps below.</t>
  </si>
  <si>
    <t>Add a title of the map in the first empty column to the right in Row 1. This is a one line description of the map (e.g., “Table”).</t>
  </si>
  <si>
    <t>Add a brief 1-3 sentence description of the map in row 2. This is to help other people understand what the map is or how it works.</t>
  </si>
  <si>
    <t>Add the link or map that will be evaluated in row 3. This should allow external people to review the map.</t>
  </si>
  <si>
    <t>Purpose map Evaluation Steps:</t>
  </si>
  <si>
    <t>The calculation formulas should update when completing the evaluations below. In the evaluation areas below, every cell should start with: "Yes", "No", or "N/A". Any text can be inserted after these words.</t>
  </si>
  <si>
    <t>For each evaluation area, it is best practice to explain why the item passes or fails. This way when you need to remember why you said the area passed or failed, you can quickly respond.</t>
  </si>
  <si>
    <t>Open both the map that is being evaluated from row 3 and the visual baseline comparison map from row 4 in their own tabs so you can easily switch between the two.</t>
  </si>
  <si>
    <t>For Generalized, Write a list of the objects that are named, the provided type, and the shape type that is given (point, polygon, or line) for both the visual baseline map and the text map being evaluated.
Review the visual baseline map, and in a new document or sheet, write a list of all the named objects present in the visual baseline map. This may be a long list, but it will be used for other steps going forward, so save it for your own personal use. Do not add this list of names in the template. For each name, write the name (e.g., “Fillmore St.”, the object type (e.g., “Street”), and its shape (e.g., “Point”, “polygon”, or “Line”). If there is a shape without a name, create your own name (e.g., Wild Vallie Foothills elevation 10"). If there is a name without a shape, you can either treat the name as a point shape, or you can create your own polygon around the area being described. Every shape and label on the map should be listed with these three elements. If the type is not designated, it can be blank.</t>
  </si>
  <si>
    <t>Perform Step 3 above for the text map being evaluated. Write a list of the objects, the provided type, and the shape type that is given on the text map being evaluated (point, polygon, or line).</t>
  </si>
  <si>
    <t>Now compare the number of objects in both lists. If all objects from the visual map are present in the text map being evaluated, then write "yes", otherwise, mark a “no” in row 6. Note that the text map being evaluated can have more objects than the visual map, although they really should be the same.</t>
  </si>
  <si>
    <t>Next, for each item in the text map, compare if the described shape, sizes, and object orientations match the objects for the object in the visual baseline map. If they all match, then write “Yes”, otherwise write “No” in row 7.</t>
  </si>
  <si>
    <t>For the “Relationships” section, all the following questions need to be answered with “yes” for the text map being evaluated. If you answer yes for the below questions, write “Yes” in row 8, otherwise write “No”:</t>
  </si>
  <si>
    <t>a.</t>
  </si>
  <si>
    <t>Are there multiple objects on the map? Every map needs to have more than one object, so if there is only one object on the text map being evaluated, then this area fails.</t>
  </si>
  <si>
    <t>b.</t>
  </si>
  <si>
    <t>Is there a central point, coordinate system, grid, or some other way of obtaining the relative distance, direction, and location of the objects on the map? It should be possible to trace or understand a single multi-segmented line from any object to another on the text map being evaluated.</t>
  </si>
  <si>
    <t>Equal Spatial Information Evaluation:</t>
  </si>
  <si>
    <t>Landmark Information Evaluation:</t>
  </si>
  <si>
    <t>Note that all the following steps in the landmark section apply to the objects present on the map being evaluated. If there are missing objects on the map being evaluated, that will be considered in another section.
Sensory characteristics: Go through every object on the map being evaluated and check if the color of the object, any photos, symbology, sounds, or other information present in the baseline map is communicated through text. If all sensory information on the baseline map is present, write “Yes”, otherwise write “No”.</t>
  </si>
  <si>
    <t>Name: Is there a name for each object on the map being evaluated, and if there is a name on both the visual baseline map and map being evaluated, are they the same? There can be names present in the map being evaluated that are not on the visual baseline map, but for each object on the map being evaluated that also has a label on the visual baseline map, they need to match.</t>
  </si>
  <si>
    <t>Type: For every object on the map being evaluated, is the object type present either in the name, text prompt, or other properties of the object? This would include “St” for “Street” in “Fillmore St.” or “Sediment” in “Glacial Sediment”. If the type is present write “Yes”, otherwise, write “No”.</t>
  </si>
  <si>
    <t>Shape: For every object on the map being evaluated, is the shape described or provided in enough detail for a cartographer or artist to redraw the shape using only the text, at the same fidelity as the baseline map? If all objects are described in enough detail, write “Yes”, otherwise, write “no”.</t>
  </si>
  <si>
    <t>Orientation: Is the direction of which every object is facing present? If the object lacks any kind of orientation information, because it is a point or circle, orientation information is unnecessary, but for squares, triangles, or any other object, the tilt or direction of the object relative to cardinal directions, a focal point, or some other method needs to be present. If it is possible to correctly orient or rotate every object to match what is on the baseline map only using the map being evaluated, then write “Yes”, otherwise write “No”.</t>
  </si>
  <si>
    <t>Size: If the length of every line on the perimeter of every object that is in the baseline map is provided in the map being evaluated, then write “Yes”, otherwise, write “No”.</t>
  </si>
  <si>
    <t>Temporal: If time-series information is provided on any layers or objects on the baseline map, is it clearly described or is there a way to modify the date for the user to observe time-changes on the map being evaluated? If time-series information is absent, write “N/A”, if the time information is present on all objects in the map being evaluated, write “Yes”, otherwise, write “No”.</t>
  </si>
  <si>
    <t>Overlaid information for thematic maps: For objects with overlaid numeric and categorical variables, all the values need to be present for each object. If the map is referential and lacks overlaid information, write “N/A. If all variables present on the baseline map are present in each object on the map being evaluated, write “Yes”, otherwise, write “no”. Note do not consider "type" as a variable in this section.</t>
  </si>
  <si>
    <t>Route Information Evaluation:</t>
  </si>
  <si>
    <t>Find all defined routes on the baseline map. If there are no defined routes, mark this entire area as N/A and continue to the Survey Information Evaluation. Defined routes are designated paths from point A to point B. There could be 0 or more designated routes. The routes on the baseline map could be blue lines overlaid on the map, for example. If there are routes shown on the baseline map (such as alternative routes) that are not present on the map being evaluated, mark this entire section with "No".</t>
  </si>
  <si>
    <t>Landmark Information: Perform the landmark evaluation for the defined routes. For example, if the defined route is a blue line, go through each landmark section treating the route line as a "line" object.</t>
  </si>
  <si>
    <t>Survey Information: Go through each section of the survey information and treat each defined route as an object on the map. It should be present in the map being evaluated as if it is any other map object. For example, if the defined route is shown as a blue line on the baseline map, then the distance, direction, and topological information should be described related to every other object on the map.</t>
  </si>
  <si>
    <t>Prominence: The level of prominence on the map being evaluated should subjectively match the prominence on the baseline map. This could consist of each route having its own section and heading on the map being evaluated. If the routes take five seconds to visually notice, then the text routes should take 5-10 seconds to find. If there is a substantial difference in the level of prominence of the routes between the maps, mark this as a "no". This is a check that the route in the text information is not heading 30 out of 60 headings, when the visual map has the blue line that takes 3 seconds to find.</t>
  </si>
  <si>
    <t>Survey Information Evaluation:</t>
  </si>
  <si>
    <t>If objects are missing in the map being evaluated compared with the baseline map, all areas of Survey Knowledge fail and should be marked with “No”. If all objects are present on the map being evaluated, continue.</t>
  </si>
  <si>
    <t>Distance between all points, polygons, and lines: Is the distance between every object provided on the map being evaluated? The distance could be one or more legs of a triangle or the hypotenuse between every other object, or one or more central locations. Is it possible to ascertain the hypotenuse (or direct line) between any two objects on the map (either directly or after performing some equations)? If so, mark “Yes”, otherwise mark “No.</t>
  </si>
  <si>
    <t>Direction between all points, polygons, and lines: Is it possible to directly, or to use a few equations, to determine the angle between every object on the map? If so, mark “Yes”, otherwise, mark “no”.</t>
  </si>
  <si>
    <t>Absolute location of all points, polygons, and lines: If no absolute location is provided, write N/A. If either graticules or exact numeric locations are provided on both the baseline map and the map being evaluated, write “Yes”, otherwise indicate “No”.</t>
  </si>
  <si>
    <t>Topological information of all points, polygons, and lines: For each object on the map being evaluated, there should be information about interior, boundary, and exterior relationships with all other objects. If two objects intersect, this intersectionality needs to be detailed across these three dimensions.  If one of the dimensions is missing, then indicate “No” in this cell. If there are only bordering objects, then those borders need to be indicated. If objects are all spread apart, then the exterior relationship should be indicated in the distance and direction variables in the other survey information. If all interior, boundary, and exterior information is present for all objects, indicate “Yes”, otherwise, say “No”.</t>
  </si>
  <si>
    <t>Notes of Caution</t>
  </si>
  <si>
    <t>Double-check that when evaluating each area, that all aspects of the definition are considered. Especially in the purpose section, there are multiple items to check for each area.</t>
  </si>
  <si>
    <t>Check for contradictions. If the shape item from the landmark area is a "No", then the spatial information item from the purpose area should also be "No".</t>
  </si>
  <si>
    <t>Be careful when evaluating an item, that you are comparing the visual baseline map to the text map being evaluated. Do not directly evaluate the text map being evaluated. There needs to be a comparison. If both the visual baseline map and the text map being evaluated both lack an area, such as temporal information, then the area should be marked as "N/A" and not "No".</t>
  </si>
  <si>
    <t>Type</t>
  </si>
  <si>
    <t>Spatial Knowledge Variable</t>
  </si>
  <si>
    <t>Row Description</t>
  </si>
  <si>
    <t>Example of Top Rows, and Passing Evaluation Area</t>
  </si>
  <si>
    <t>Map Representation Description</t>
  </si>
  <si>
    <t>Representation Description is a description of the representation being evaluated using this framework. The descriptions will all be in this row. This is not a description of the contents of the map, but a description of how the representation map being evaluated works.</t>
  </si>
  <si>
    <t>A table has rows for all objects on the map, and a column for the numeric or categorical object properties.</t>
  </si>
  <si>
    <t>Text Map</t>
  </si>
  <si>
    <t>This is the text version of the map that is being evaluated against the visual map. It is important to keep in mind that the text map is being compared with the visual map, and not being evaluated on its own.</t>
  </si>
  <si>
    <t>https://purvasingh96.github.io/accessible-maps/#/tables/table1</t>
  </si>
  <si>
    <t>Visual Baseline Map</t>
  </si>
  <si>
    <t>The Visual Map Comparison is a visual only map that the representation in the row above is being evaluated against. This is the baseline representation. It is the map as originally represented, via original file, screenshot, or image, if analog.</t>
  </si>
  <si>
    <t>https://purvasingh96.github.io/accessible-maps/#/maps/map1</t>
  </si>
  <si>
    <t>Total Purpose Items Passed:</t>
  </si>
  <si>
    <t>0/3 Items Passed</t>
  </si>
  <si>
    <t>The purpose of a map is to communicate generalized spatial information and relationships. These are the three components of a map at its most fundamental level. If any of these three elements are missing, as compared with a visual comparison, then the purpose of the map is not being met. You should add a fraction in this row, the top number is the passing elements, and the bottom number is the total elements. This is the first quick evaluation to identify if further evaluation is needed.
Note: if the area is not present on the visual baseline map, it does not need to be evaluated on the text map.</t>
  </si>
  <si>
    <t>2/3 Items Passed</t>
  </si>
  <si>
    <t>Generalized:</t>
  </si>
  <si>
    <t>General means that "something" is being used to represent the real-world. The primitive map symbols are points, lines, and polygons. Are all the points, lines, and polygons for every object on the visual map, described in detail on the text map? All objects on the visual map should be present on the text map.</t>
  </si>
  <si>
    <t>Johnson Hall is a rectangle two feet long and five feet high. It has a point indicating a door on its southwest corner, facing west.</t>
  </si>
  <si>
    <t>Spatial Information:</t>
  </si>
  <si>
    <t>Spatial means that shape, size, and orientation are described in detail for each object present on the text map. Is the shape, size, and orientation described for each object on the text map?</t>
  </si>
  <si>
    <t>Johnson Hall is 30 feet west (3 o'clock) from the Rec Center. They are both located on the Wonderful University campus, and the Rec Center is at the very northwest corner of the campus.</t>
  </si>
  <si>
    <t>Spatial Relationships:</t>
  </si>
  <si>
    <t>Relationships are the connections between multiple objects. Is there a way to understand the distance, direction, topological, and relative location of every object on the text map between every other object on the text map? Is it possible to understand a line connecting each object on the text map?</t>
  </si>
  <si>
    <t>Johnson Hall is 30 feet west (3 o'clock) from the Rec Center. They are both located on the Wonderful University campus.</t>
  </si>
  <si>
    <t>Total Equivalent Items Passed:</t>
  </si>
  <si>
    <t>0/15 Items Passed</t>
  </si>
  <si>
    <t>This is a fraction summing all three spatial knowledge areas. the top number is the passing items, and the bottom number is the total number of applicable items. If there are items that are not applicable, they can be left out the total number of items on the bottom. Sum all landmark knowledge, route, knowledge, and survey knowledge areas.
Note: if the information is not present on the visual baseline map, it does not need to be evaluated on the text map and should be marked N/A.</t>
  </si>
  <si>
    <t>2/15 Items Passed</t>
  </si>
  <si>
    <t>Landmark knowledge:</t>
  </si>
  <si>
    <t>0/8 Items Passed</t>
  </si>
  <si>
    <t>Landmark information is the individual characteristics of every object on the map. These areas should only evaluate the objects present on the text map against the visual baseline map. Go through each object on the text map and evaluate each landmark area against the same object on the visual map.</t>
  </si>
  <si>
    <t>8/8 Items Passed</t>
  </si>
  <si>
    <t>Sensory characteristics:</t>
  </si>
  <si>
    <t>These are the colors, sounds, visuals, smells, and other characteristics that are communicated with the user. An example would be a “blue” color being used to represent water on the visual map. This information needs to be described on the text map. The map key is where this information is often provided.</t>
  </si>
  <si>
    <t>Water is represented through a corn blue color, grass is represented through a dark green color.</t>
  </si>
  <si>
    <t>Name:</t>
  </si>
  <si>
    <t>This is the label of the object, or how the object is referenced when discussing the information on the map. For example, a road could be named: “Fillmore St.”. Every object in the text map needs to have a name of some kind.</t>
  </si>
  <si>
    <t>Fillmore St.</t>
  </si>
  <si>
    <t>Type:</t>
  </si>
  <si>
    <t>The type is a categorical descriptor for the object. For example: “Street”, “Walkway”, “Restaurant”, etc. This could also be derived from the name (e.g., “Fillmore St.” the “St.” means “Street”, which is the type).</t>
  </si>
  <si>
    <t>Street</t>
  </si>
  <si>
    <t>Shape:</t>
  </si>
  <si>
    <t>The shape consists of the detailed borders of an object. The borders of each object on the visual map need to match the borders or shapes described on the text map.</t>
  </si>
  <si>
    <t>A simple description could be: “Rectangle”, but an irregular complex shape requires more description, for example: “Idaho’s northern border is relatively short, about 40 miles, confined to the narrow panhandle, and is defined by a straight line that separates it from British Columbia, Canada. The eastern border with Montana and Wyoming starts in the north with Montana. For around 100 miles with a 5:30 o'clock slope, the border is fairly strait going north to south with a very gentle slope east. A stronger eastern curve going from  5:30-3 o'clock into Montana happens, and Idaho eventually has Montana completely to the north for about 150 miles until it reaches Wyoming. The eastern border between Idaho and Wyoming is strait for around 100 miles. The southern border is strait for around 479 miles (its widest point). The southern border is split equally between Utah in the east and Nevada in the west. The eastern border between Oregon and Washington is strait for around 305 miles, and 60% in the south is the border with Oregon and the 40% in the north is with Washington.”</t>
  </si>
  <si>
    <t>Orientation:</t>
  </si>
  <si>
    <t>The orientation can be combined with the shape description, but should consist of the border objects and how the object relates to those objects, and how the shape is facing. The orientation of every object on the visual map needs to be described on the text map.</t>
  </si>
  <si>
    <t>“The Blue Tavern is a triangular building with the point of the triangle facing northwest at 11 o'clock. The point  touches Fillmore St. To the northeast side of the building is Freedom Parks, to the south is Green Laundromat, and southeast, along the flat side of the triangle, is a patio for the bar.”</t>
  </si>
  <si>
    <t>Size:</t>
  </si>
  <si>
    <t>The size are the particular dimensions of the perimeter of the object. The size that is shown for every object on the visual map needs to be described on the text map.</t>
  </si>
  <si>
    <t>“Blue tavern has 3 walls. The two long walls that connect at a point are 50 meters long, and the short wall leading on to the patio is 20 meters long.”</t>
  </si>
  <si>
    <t>Temporal:</t>
  </si>
  <si>
    <t>Temporal information is the change in data (geographic, numerical, or categorical) over time. If it is possible to observe data change over time on the visual map, then the same time change information needs to be described on the text map. If it is not possible to view different data from different times on the visual map, then write "N/A" in this section. You should be looking for timelines, line graphs, or settings to change the date.</t>
  </si>
  <si>
    <t>The number of total COVID cases over the U.S. from 1/1/2021 to 4/1/2021:
1/1/2021: 500020
2/1/2021: 502000
3/1/2021: 512000
4/1/2021: 523110</t>
  </si>
  <si>
    <t>Overlaid information for thematic maps:</t>
  </si>
  <si>
    <t>Overlaid information for thematic maps consist of the one or more numeric or categorical variables associated with each object. These are normally additional properties attached to each object on the map. This will be different categorical variables than "type", since type is its own item. The overlaid information is normally statistics (e.g., population data). If it is possible to observe different overlaid information on the visual map, then that same data needs to be described in the text map.</t>
  </si>
  <si>
    <t>California: 543 Total Cases, 5 Total Deaths, and Yes masks Required.</t>
  </si>
  <si>
    <t>Route:</t>
  </si>
  <si>
    <t>Route information are the defined routes on the map. These are normally navigation routes from point A to point B following some kind of path. If there are defined routes present on the visual baseline map that are not present on the text map, all areas in this section fail. Compare the routes on the text map with the routes on the visual baseline map. If there are no defined routes, this entire section should be N/A.</t>
  </si>
  <si>
    <t>N/A</t>
  </si>
  <si>
    <t>Landmark Information:</t>
  </si>
  <si>
    <t>Make sure all applicable areas of the landmark knowledge section pass with the object representing the defined route. Take into consideration distance markers, shape, length/size, orientation, color, etc. If any items fail from the landmark section for any of the routes, write the entire section as a "No".</t>
  </si>
  <si>
    <t>There is a blue line tracing the shape of Fillmore St. Every 75 feet there is a blue marker showing the length. There is a blue marker 2/3rds of the way along the line. The line is strait going south to north and represents 94 meters. The line starts at 3321 Fillmore St. and ends at 1283 Fillmore St. The line angles from south to north at a 2 o'clock angle.</t>
  </si>
  <si>
    <t>Survey Information:</t>
  </si>
  <si>
    <t>Make sure all applicable areas of survey knowledge are evaluated on each defined route in relationship with the other objects on the map. These other objects include intersections, intersection types, buildings, etc. If any items fail from the survey section for any of the routes, write the entire section as a "No".</t>
  </si>
  <si>
    <t>The line starts at 3321 Fillmore St. and ends at 1283 Fillmore St. The line begins at the center of the 3321 Fillmore St.  building, and continues 10 meters 3 meters in front of the building on the west side of Fillmore St. The route then crosses Clay St. for 4 meters with a stoplight intersection. On the northside of Clay and Fillmore the route continues for 5 meters in front of Dunkin Donuts, 10 meters along Lululemon, 20 meters along Wells Fargo bank, 10 meters in front of a parking lot, 5 meters past Boba and more, 20 40 meters in front of a Safeway, and 10 meters along the front of 1283 Fillmore St., ending half-way along 1283 Fillmore St.</t>
  </si>
  <si>
    <t>Prominence:</t>
  </si>
  <si>
    <t>The defined route information should be easy to find and chunked in its own section. The time it takes to find the route information on the visual map should be around the same time it takes to find the information on the text map, although the text map will probably be a little slower because text takes time to read.</t>
  </si>
  <si>
    <t>Routes:
Route 1: 3321 Fillmore to 1283 Fillmore
There is a blue line tracing the shape of Fillmore St. Every 75 feet there is a blue marker showing the length...</t>
  </si>
  <si>
    <t>Survey:</t>
  </si>
  <si>
    <t>0/5 Items Passed</t>
  </si>
  <si>
    <t>Survey information is the overall understanding of how every object is related spatially to one another. If there are objects present on the visual baseline map that are not present on the text map, then all items in this section fail. Go through each object on the text map and evaluate if it communicates the same survey information as the same object on the visual baseline map.</t>
  </si>
  <si>
    <t>Relative Location example:
The Red room is a square in the center of the map. The bottom right corner of the square green room is 23 meters and 6 o'clock from the red room. The bottom right corner of the triangular Yellow Room is 10 meters and 2 o'clock from the red room, and the bottom edge of the yellow room is parallel with the top edge of the Red room. The top left corner of the rectangular Orange room is 5 meters and 4 o'clock from the Red room.</t>
  </si>
  <si>
    <t>Distance between all points, polygons, and lines:</t>
  </si>
  <si>
    <t>Distance is how far each object is from another, typically using Euclidean distance. This is using the “as the crow flies” distance, not taking into account objects between the starting point and the ending point. If this distance information is present on the visual map, it needs to also be present in the text map.</t>
  </si>
  <si>
    <t>The green room is 23 meters from the red room. The Yellow Room is 10 meters from the red room. The Orange room is 5 meters from the Red room.</t>
  </si>
  <si>
    <t>Direction between all points, polygons, and lines:</t>
  </si>
  <si>
    <t>Direction is the angle between each object. For example: Fillmore St. is 85 degrees from Clay St., or using more imprecise methods if the map is not as complex (e.g., Sandwiches and More is 2 o'clock from Men’s Haircuts; or The Dry Cleaner’s is right of Shoes and More; or Pet Grooming is east of The Crabcake House). The important aspect is that the angle between each object shown on the visual map is accurately communicated in the text map.</t>
  </si>
  <si>
    <t>The green room is 6 o'clock from the red room. The Yellow Room is 2 o'clock from the red room. The Orange room is 6 o'clock from the Red room.</t>
  </si>
  <si>
    <t>Absolute location of all points, polygons, and lines:</t>
  </si>
  <si>
    <t>Are the exact coordinates for the object present?
There are two types of location: absolute (with coordinates), and relative (how objects relate to each other). If the map provides access to absolute location, then that should be present at an equal level to the baseline map. Additionally, the relative location between every object needs to be provided through a combination of distance and direction in the other survey areas. If the baseline map shows graticules, the distance and direction between the different graticules and the edges of each shape should be provided. If coordinates are given through a number, then the same coordinates should be provided in both representations. If no absolute location information is present in the baseline map, indicate N/A. If the baseline map and the map being evaluated contain absolute information for the same objects, then write “Yes”, otherwise, write “No”.</t>
  </si>
  <si>
    <t>Absolute location example:
The right edge of the 5 meters h and 10 meters w rectangular Red Room is 10 meters west of the 9 degrees E graticule, and the bottom edge of the Red Room is 150 meters north of the 45 degrees N graticule. The center of the Red Room is at 45.0013722° N, 8.9998094° E.</t>
  </si>
  <si>
    <t>Topological information of all points, polygons, and lines:</t>
  </si>
  <si>
    <t>Topological information is the relationship between two objects across three dimensions that can be expressed in a three by three matrix for both objects: interior, boundary, and exterior. If two objects intersect, this intersectionality needs to be detailed across these three dimensions.  If one of the dimensions is missing, then indicate “No” in this cell. If there are only bordering objects, then those borders need to be indicated. If objects are all spread apart, then the exterior relationship should be indicated in the distance and direction variables in the other survey information.</t>
  </si>
  <si>
    <t xml:space="preserve">The square purple room is placed completely inside 10 meters from the top and four meters from the left edge of the rectangular Colored Room Zone, and the top of the purple room is parallel to the top of the Colored Room Zone.
The elevator point is outside, 10 meters above and six meters to the right of the top left corner of the Colored Room Zone.
The road of discovery is a line that travels from the elevator, strait down into the Colored Room Zone. It then continues one meter to the right of the purple room, and after 14 meters from the top of the Colored Room Zone, at the edge of the purple room, makes a 90 degree turn to the right…
</t>
  </si>
  <si>
    <t>Turn-By-Turn Directions</t>
  </si>
  <si>
    <t>Table</t>
  </si>
  <si>
    <t>Nearby Address Search</t>
  </si>
  <si>
    <t>Short Text Alternative</t>
  </si>
  <si>
    <t>Google Maps Interactive Alternate Text</t>
  </si>
  <si>
    <t>Audiom Map Interactive Alternate Text</t>
  </si>
  <si>
    <t>MUD Map Interactive Alternate Text</t>
  </si>
  <si>
    <t>Audio Description</t>
  </si>
  <si>
    <t>Turn-by-turn directions present clear, actionable directions between two landmarks.</t>
  </si>
  <si>
    <t>A nearby address search contains a search box where the user enters in an address or zip code, they press search, and a list of locations is presented, often with the nearest location at the top of the list and the furthest location at the bottom. Other versions of nearby address searches will just provide information about the specific address or city that was provided, such as the air quality in San Francisco.
The visual map and text map are on the same page. The text map is the list of addresses.</t>
  </si>
  <si>
    <r>
      <rPr/>
      <t xml:space="preserve">A short text alternative is typically one line that describes the map contents. It fits within the traditional 140 character alternate text limit:
</t>
    </r>
    <r>
      <rPr>
        <color rgb="FF1155CC"/>
        <u/>
      </rPr>
      <t xml:space="preserve">https://link.springer.com/chapter/10.1007/978-3-031-08645-8_4
</t>
    </r>
  </si>
  <si>
    <t xml:space="preserve">This is a Google Maps experience of a neighborhood map centered at 2318 Fillmore St. San Francisco, CA, 94115. The information that should be present includes all the objects around, and including, the central building.
Google Maps provides an interactive alternate text experience where the user presses the arrow keys to pan the viewport around the map, and they hear a list of objects in that viewport. The user can press number keys to hear more information about the items in the viewport. More information can be found at:
https://support.google.com/maps/answer/6396990?hl=en&amp;co=GENIE.Platform%3DDesktop
The visual map and text map are on the same page. You may need to install a screen reader to use this experience:
Mac:
https://webaim.org/articles/voiceover/
Windows:
https://webaim.org/articles/nvda/
Generalized: You can access all names of objects by moving with the arrow keys and the object names are listed.
Spatial Information: Details about each object can be found by pressing its corresponding number on the keyboard when it is in the view. For example, “Press 1 to get details about Lafayette Park”, pressing “1” will bring up details that may have the spatial information in text.
Spatial Relationships: You can understand the spatial relationships between objects by moving between them on the map.  You can zoom in and out by pressing - and = on the keyboard.
</t>
  </si>
  <si>
    <t xml:space="preserve">Audiom allows the user to move a character around the map using arrow keys a user-specified distance every arrow press. It is powered by Geojson or other vector data. More information can be found at:
https://audiom.net
or
https://icad2022.icad.org/wp-content/uploads/2022/06/Biggs-et-al-ICAD2022_30.pdf
For a tutorial of the general Audiom interface, please complete:
https://xrnavigation.io/audiom-demo
Here is a video demo on using this exact map:
https://youtu.be/DuzQw5u7mqI
For this map the visual experience of the map needs to be compared with the non-visual functionality.
Generalized: All objects on the map are listed with the “m” key. They are also all listed in the table accessed with the “t” key.
Spatial Information: The color can be found in alternate text in the “Legend” area, if you arrow through each graphic, it will say something like: “dot pattern, aliceblue.0 – 2600000”. Shape, size, and orientation can be accessed by moving around the border of the object in geographic view, like in the above video. You use your arrow keys to move around the object, and you can trace around the edge of the feature at your given step-size to get the shape, size, and orientation. The shape is not "described", instead it needs to be experienced. For example, North Dakota has the shape of a rectangle that is oriented by laying lengthwise along South Dakota, and the size is 8 steps wide and 4 steps high (so around 560 km wide and 280 km high) based on the 70km zoom in the above  video. The overlaid information is present both in the label of the object on the geographic view and in the table you get with pressing “t”.
Spatial Relationships: The menu you get with pressing “m” will provide the number of steps you need to reach any object from your current location on the geographic view. You can select an object and open the menu again, and it will update the distance and direction to all the other objects from your current location. Coordinates are provided both locally (after the name of each object), and by pressing alt+c. By moving around between objects using the arrow keys, the overlap or border relationship between objects can be determined. The resolution can be adjusted by pressing - and = (This will also tell you the current step size).
Note that there is a bug in Audiom where changing the step-size says you are moving 1 meter each arrow press, but it is actually 70 km. This is described in the map text above.
</t>
  </si>
  <si>
    <t xml:space="preserve">MUD Maps segment maps into pre-designated "rooms" that are navigated by pressing cardinal directions (e.g., n, s, w, e, nw, se, etc.) Each room has a segmented description of the map.
Generalized: The name of the room will be the name of each object on the map.
Spatial Information: Each room describes the section of the object (or whole object). This includes the shape, size, colors, numeric value, and orientation of each object.
Spatial Relationships: The user is told in each room the size of each room, and they can move in the cardinal direction between each object. The topological information is described in the text, and the resolution is the level of detail described in each object description.
</t>
  </si>
  <si>
    <t xml:space="preserve">Audio Description is a detailed indexed text description describing all objects on the map.
Generalized: All object names should be present at the start of each paragraph describing each object.
Spatial Information: The color, numeric value, size, shape, and orientation should be present in the description of each object.
Spatial Relationships: The direction and border information is present in each object description, along with the distance each object borders another. The resolution is the level of description present for each object.
</t>
  </si>
  <si>
    <t>from 2318 Fillmore St, San Francisco, CA 94115 to 2255 California St, San Francisco, CA 94115
7 min(0.3 mile)
via Sacramento St
Mostly flat
Use caution_x0013_walking directions may not always reflect real-world conditions
Starting: 2318 Fillmore St, San Francisco, CA 94115
Head south on Fillmore St toward Clay St, 180 ft
Turn left onto Clay St, 125 ft
Turn right onto Goldberg Ln, take the stairs, 322 ft
Turn left onto Sacramento St, 351 ft
Turn right onto Webster St, 341 ft
Turn left onto California St, Destination will be on the right, 233 ft
Destination: 2255 California St, San Francisco, CA 94115</t>
  </si>
  <si>
    <t>https://locators.bankofamerica.com/?q=94115</t>
  </si>
  <si>
    <t>A Neighborhood centered at 2318 Fillmore St. San Francisco CA, 94115.</t>
  </si>
  <si>
    <t>https://www.google.com/maps/place/2318+Fillmore+St,+San+Francisco,+CA+94115/@37.7911708,-122.436603,17z/data=!3m1!4b1!4m6!3m5!1s0x808580c6749f45b3:0xb38914d1fff6791a!8m2!3d37.7911666!4d-122.4340281!16s%2Fg%2F11bw43g7nx?entry=ttu&amp;g_ep=EgoyMDI1MDgxMy4wIKXMDSoASAFQAw%3D%3D</t>
  </si>
  <si>
    <t>https://xrnavigation.io/audiom-covid-map/</t>
  </si>
  <si>
    <t>1. The original MUD experience was created using the Evennia mud engine. A video can be viewed of the experience at:
https://youtu.be/zNms8cYLAA4
2. Below are the instructions to the researchers that was followed by the narrator in the above video.
3. type "Pacific Northwest", then press enter. This will change the room you are in to be the Pacific Northwest overview room.
4. After reading the overview text, type "Washington", and press enter. This will take you to the Washington state room with the description of Washington State.
5. Read the description of Washington state, then type "e", and press "enter". This will take you to Northern Idaho.
6. Read the Northern Idaho description, then type "s", and press enter. This will take you to Southern Idaho. Read the southern Idaho description.
7. Type "w", and press enter. This will take you to the Oregon room with its description. Read this description.
8. Type "n", and then press "enter". This will take you north back to Washington where you began.
You can  use the n, w, e, s commands to freely move around the rooms. To read the overall description again, type: "teleport #75".</t>
  </si>
  <si>
    <t>Overview: This is a map of COVID cases over Oregon (974,924 Cases), Washington (1,975,382 Cases), and Idaho (525,825 Cases). Oregon, Washington and Idaho are three states with Washington to the north of Oregon. Both Washington and Oregon are sandwiched between the pacific ocean on the west, and Idaho in the east.
• Washington State is distinguished by its unique geographical shape. Washington has a notable Olympic Peninsula extending around 25 miles into the Pacific Ocean on the northwestern corner and a more rectangular eastern region. The state is oriented with the Pacific to its west, Canada to the north, Idaho to the east, and Oregon to the south. It is the 18th largest state in the U.S. It is 360 miles wide from east to west and 240 miles long. The southern border between Washington and Oregon is primarily defined by the Columbia River, making it fairly straight but with natural deviations due to the river’s course. There is a notable 100 mile wide “hump” or bulge in this border, where Washington’s territory extends southward 15 miles into what would otherwise be a straight line, near the mid-eastern area around Walla Walla. The eastern border with Idaho is largely straight from north to south. The northern border with Canada is a straight line. The western border is the most irregular, defined by the Pacific coastline to the west and the Puget Sound to the northwest. The Olympic Peninsula juts out around 25 miles into the Pacific Ocean in the middle of the western border around 190 miles south of the northern border, creating a varied and rugged coastline. The Puget Sound further indents the state’s western boundary, with numerous inlets and islands creating a complex maritime boundary. Washington state has 1975382 Total Cases. The cases are represented by a dot pattern and aliceblue color.
• Oregon is characterized by its diverse geographical objects. It has the rugged Pacific coastline defining its western edge and the more uniform eastern region bordered by Idaho. The state is situated with the Pacific Ocean to its west, Washington to the north, Idaho to the east, and California and Nevada to the south. It ranks as the 9th largest state in the U.S. Oregon spans about 360 miles from east to west and approximately 260 miles from north to south. The northern border between Washington and Oregon is primarily defined by the Columbia River, making it fairly straight but with natural deviations due to the river’s course. There is a notable 100 mile long “hump” or bulge in this border, where Washington’s territory extends southward around 15 miles into what would otherwise be a straight line, near the mid-eastern area around Walla Walla. The eastern border between Oregon and Idaho is relatively strait with a small hump of Idaho that goes into Oregon around the middle of the border between Nevada and Washington. The southern border is relatively straight, with minor deviations. It is defined by surveyed lines rather than natural objects, creating a clear demarcation between Oregon and its southern neighbors, California and Nevada. California extends from the pacific ocean and covers about 60% of the southern border, and Nevada covers the eastern part of the southern border for around 40%. Oregon’s western border is marked by its Pacific coastline, which stretches approximately 363 miles. Unlike the relatively straight borders to the north and south, the western coastline adds a natural and irregular edge to the state’s shape with a slight slant, around 25 miles, into the pacific ocean near the southern edge. Oregon has 974924 Total Cases. The cases are represented by a dot pattern and aliceblue color.
• Idaho is marked by its distinctive shape and diverse geography. It objects a narrow panhandle that stretches northward, flanked by Washington and Montana, and a broader southern section that shares borders with Utah, Nevada, Oregon, and Wyoming. The state is oriented with Canada to its north, Montana and Wyoming to the east, Nevada and Utah to the south, and Oregon and Washington to the west. It ranks as the 14th largest state in the U.S. Idaho spans about 305 miles from north to south and approximately 479 miles from east to west at its widest point. Idaho’s northern border is relatively short, about 40 miles, confined to the narrow panhandle, and is defined by a straight line that separates it from British Columbia, Canada. The eastern border with Montana and Wyoming starts in the north with Montana. For around 100 miles, the border is fairly strait going north to south with a very gentle slope east. A stronger eastern curve into Montana happens, and Idaho eventually has Montana completely to the north for about 150 miles until it reaches Wyoming. The eastern border between Idaho and Wyoming is strait for around 100 miles. The southern border is strait for around 479 miles (its widest point). The southern border is split equally between Utah in the east and Nevada in the west. The eastern border between Oregon and Washington is strait for around 305 miles, and 60% in the south is the border with Oregon and the 40% in the north is with Washington. Idaho has 525825 Total Cases. The cases are represented by a dot pattern and aliceblue color.</t>
  </si>
  <si>
    <t>https://maps.app.goo.gl/MucFRU3j8tDZzPux9</t>
  </si>
  <si>
    <t>https://xrnavigation.io/this-is-a-covid-statistic-map-showing-total-cases-over-washington-Oregon-and-idaho/</t>
  </si>
  <si>
    <t>Google Maps Interactive Text</t>
  </si>
  <si>
    <t>Audiom Map Interactive Text</t>
  </si>
  <si>
    <t>MUD Map Interactive Text</t>
  </si>
  <si>
    <r>
      <rPr/>
      <t xml:space="preserve">A short text alternative is typically one line that describes the map contents. It fits within the traditional 140 character alternate text limit:
</t>
    </r>
    <r>
      <rPr>
        <color rgb="FF1155CC"/>
        <u/>
      </rPr>
      <t xml:space="preserve">https://link.springer.com/chapter/10.1007/978-3-031-08645-8_4
</t>
    </r>
  </si>
  <si>
    <t>https://xrnavigation.github.io/tvm-study/#/tables/table1</t>
  </si>
  <si>
    <t>https://xrnavigation.github.io/tvm-study/#/maps/map1</t>
  </si>
  <si>
    <t>No, most objects on the map outside the directions are missing.</t>
  </si>
  <si>
    <t>Yes, all objects are present on the map</t>
  </si>
  <si>
    <t>No, most objects outside the location points are missing</t>
  </si>
  <si>
    <t>No, all objects other than the center point are missing</t>
  </si>
  <si>
    <t>Yes, all objects are present on the map in both the table and object menu</t>
  </si>
  <si>
    <t>Yes, all objects are present in the text descriptions and room names</t>
  </si>
  <si>
    <t>Yes, all objects are present in the text descriptions and headings</t>
  </si>
  <si>
    <t>No, there are curves and width for the route present on the visual map, and not in the text.</t>
  </si>
  <si>
    <t>No, no information is provided for the objects on the map such as shape and size.</t>
  </si>
  <si>
    <t>Yes, shape, size, and Orientation are all present when you move around objects on the geographic view</t>
  </si>
  <si>
    <t>Yes, shape, size, and orientation are all present in the text description and when moving between rooms</t>
  </si>
  <si>
    <t>Yes, shape, size, and orientation are all present in the text description</t>
  </si>
  <si>
    <t>Yes, for the objects that are present, it is possible to understand their basic distance and direction between each other</t>
  </si>
  <si>
    <t>No, there are no spatial relationships present</t>
  </si>
  <si>
    <t>No, although there is a way to tell direction, and some kind of distance, the distance units are missing, and The distance and direction is pretty general</t>
  </si>
  <si>
    <t>Yes, it is possible to understand the distance, direction, and relative location between all objects on the map through the object menu.</t>
  </si>
  <si>
    <t>Yes, the text description has the distance, direction, and relative location of all objects on the map</t>
  </si>
  <si>
    <t>No, no sensory information is provided</t>
  </si>
  <si>
    <t>Yes, the colors are described in the legend above the map</t>
  </si>
  <si>
    <t>Yes, colors are mentioned in the room description for each object.</t>
  </si>
  <si>
    <t>Yes, colors are mentioned in the description for each object.</t>
  </si>
  <si>
    <t>Yes, all features have a name</t>
  </si>
  <si>
    <t>Yes, all object names are provided as room names.</t>
  </si>
  <si>
    <t>Yes, all object names are provided.</t>
  </si>
  <si>
    <t>Yes, all features have a type</t>
  </si>
  <si>
    <t>Yes, all types are provided in the room description.</t>
  </si>
  <si>
    <t>Yes, all types are provided in the descriptions.</t>
  </si>
  <si>
    <t>no, no shape information is provided</t>
  </si>
  <si>
    <t>Yes, shape information can be Determined through tracing objects with your character</t>
  </si>
  <si>
    <t>Yes, all shapes are described in the room descriptions.</t>
  </si>
  <si>
    <t>Yes, all shapes are described in the descriptions.</t>
  </si>
  <si>
    <t>No, although there is basic left/right Orientation, the visual map provides more detail.</t>
  </si>
  <si>
    <t>No, no orientation information is provided</t>
  </si>
  <si>
    <t>Yes, basic orientation information is provided</t>
  </si>
  <si>
    <t>Yes, orientation information can be Determined through tracing objects with your character and learning Bordering objects</t>
  </si>
  <si>
    <t>Yes, the orientation of objects are described in the room descriptions.</t>
  </si>
  <si>
    <t>Yes, the orientation of objects are described in the descriptions.</t>
  </si>
  <si>
    <t>Yes, the distance is given for the small sections of the objects that are present, but this is assuming the object is a line, which is not given in the description.</t>
  </si>
  <si>
    <t>No, no size information is provided</t>
  </si>
  <si>
    <t>Yes, size information can be determined by tracing the border of the objects with your character</t>
  </si>
  <si>
    <t>Yes, the size of all objects are mentioned in the room descriptions.</t>
  </si>
  <si>
    <t>Yes, the size of all objects are mentioned in the descriptions.</t>
  </si>
  <si>
    <t>Yes, all statistical values are present in the table for each map object.</t>
  </si>
  <si>
    <t>Yes, the numeric information is provided in the room description.</t>
  </si>
  <si>
    <t>Yes, the numeric information is provided in the descriptions.</t>
  </si>
  <si>
    <t>No, there are routes on the visual map that are not showing on the text map</t>
  </si>
  <si>
    <t>No, not all items are present on the map</t>
  </si>
  <si>
    <t>No, no distance information is present</t>
  </si>
  <si>
    <t>Yes, all distance information is communicated through the menu, goto dialogue, and geographic views</t>
  </si>
  <si>
    <t>Yes, all distance information is provided in the room descriptions for all objects.</t>
  </si>
  <si>
    <t>Yes, all distance information is provided in the descriptions for all objects.</t>
  </si>
  <si>
    <t>No, no direction information is present</t>
  </si>
  <si>
    <t>Yes, all directional information is communicated through the menu, goto dialogue, and geographic views</t>
  </si>
  <si>
    <t>Yes, all direction information is provided in the room descriptions for all objects.</t>
  </si>
  <si>
    <t>Yes, all direction information is provided in the descriptions for all objects.</t>
  </si>
  <si>
    <t>No, no location information is present</t>
  </si>
  <si>
    <t>Yes, the location of all objects are communicated through coordinates after each object in the geographic view, and by pressing alt+c anywhere on the geographic view. The relative locations are provided both in the geographic view and the menu</t>
  </si>
  <si>
    <t>No, no topological information is present</t>
  </si>
  <si>
    <t>Yes, topological information about all objects was provided through the user moving around objects in the geographic view.</t>
  </si>
  <si>
    <t>Yes, the topological information for all objects is provided both in the room descriptions and as the user moves between rooms around the map.</t>
  </si>
  <si>
    <t>Yes, the topological information for all objects is provided in the descriptions for all objects.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</si>
</sst>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
    <font>
      <sz val="10.0"/>
      <color rgb="FF000000"/>
      <name val="Arial"/>
      <scheme val="minor"/>
    </font>
    <font>
      <color theme="1"/>
      <name val="Arial"/>
      <scheme val="minor"/>
    </font>
    <font>
      <u/>
      <color rgb="FF0000FF"/>
    </font>
    <font>
      <sz val="12.0"/>
      <color theme="1"/>
      <name val="&quot;Times New Roman&quot;"/>
    </font>
    <font>
      <color theme="1"/>
      <name val="Arial"/>
    </font>
    <font>
      <u/>
      <color rgb="FF0000FF"/>
    </font>
    <font>
      <u/>
      <color rgb="FF0000FF"/>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3"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horizontal="left" readingOrder="0" shrinkToFit="0" vertical="top" wrapText="1"/>
    </xf>
    <xf borderId="0" fillId="2" fontId="1" numFmtId="0" xfId="0" applyAlignment="1" applyFill="1" applyFont="1">
      <alignment readingOrder="0" shrinkToFit="0" vertical="top" wrapText="1"/>
    </xf>
    <xf borderId="0" fillId="0" fontId="4" numFmtId="164" xfId="0" applyAlignment="1" applyFont="1" applyNumberFormat="1">
      <alignment vertical="top"/>
    </xf>
    <xf borderId="0" fillId="0" fontId="1" numFmtId="0" xfId="0" applyAlignment="1" applyFont="1">
      <alignment shrinkToFit="0" vertical="top" wrapText="1"/>
    </xf>
    <xf borderId="0" fillId="0" fontId="4" numFmtId="0" xfId="0" applyAlignment="1" applyFont="1">
      <alignment vertical="bottom"/>
    </xf>
    <xf borderId="0" fillId="0" fontId="4" numFmtId="0" xfId="0" applyAlignment="1" applyFont="1">
      <alignment vertical="top"/>
    </xf>
    <xf borderId="0" fillId="0" fontId="1" numFmtId="0" xfId="0" applyAlignment="1" applyFont="1">
      <alignment horizontal="left"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4" numFmtId="0" xfId="0" applyAlignment="1" applyFont="1">
      <alignment vertical="top"/>
    </xf>
    <xf borderId="0" fillId="0" fontId="4" numFmtId="0" xfId="0" applyAlignment="1" applyFont="1">
      <alignment vertical="bottom"/>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andon Biggs" id="{7e80ec81-01b2-4260-a636-9e991a8988d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23T15:40:31.00" personId="{7e80ec81-01b2-4260-a636-9e991a8988de}" id="{2f5332f5-e67b-48d1-9bd5-dd827deaa0a6}" done="1">
    <x18tc:text xml:space="preserve">Create instructions for each map type that I think would pass.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 dT="2025-09-23T15:14:52.00" personId="{7e80ec81-01b2-4260-a636-9e991a8988de}" id="{b13944b5-9ce6-4c81-9e67-1c64c42a8ca5}" done="1">
    <x18tc:text xml:space="preserve">the blue line information.</x18tc:text>
  </x18tc:threadedComment>
  <x18tc:threadedComment ref="B19" dT="2025-09-23T15:16:58.00" personId="{7e80ec81-01b2-4260-a636-9e991a8988de}" id="{13afb474-839d-4e01-95e5-83f7c50b294c}" parentId="{b13944b5-9ce6-4c81-9e67-1c64c42a8ca5}">
    <x18tc:text xml:space="preserve">There are blue dots for 0.2 miles.</x18tc:text>
  </x18tc:threadedComment>
  <x18tc:threadedComment ref="B19" dT="2025-09-23T15:26:17.00" personId="{7e80ec81-01b2-4260-a636-9e991a8988de}" id="{c0612d05-265d-47b4-89f0-184c6f771479}" parentId="{b13944b5-9ce6-4c81-9e67-1c64c42a8ca5}">
    <x18tc:text xml:space="preserve">The blue line follows one side of the road, so you always know the side of the road. Crossing of the street is given.
There is an indication of lights or stop signs, but they are not related to the blue line.</x18tc:text>
  </x18tc:threadedComment>
  <x18tc:threadedComment ref="B23" dT="2025-09-23T15:32:34.00" personId="{7e80ec81-01b2-4260-a636-9e991a8988de}" id="{e38a7c97-9852-4004-ba5c-6c663f1d0347}" done="1">
    <x18tc:text xml:space="preserve">write more details on using the Audiom for each area of the map.</x18tc:text>
  </x18tc:threadedComment>
  <x18tc:threadedComment ref="B26" dT="2025-09-23T15:34:46.00" personId="{7e80ec81-01b2-4260-a636-9e991a8988de}" id="{d8aef53f-3549-438c-a4fb-9b8410568528}" done="1">
    <x18tc:text xml:space="preserve">focus on the coordinates piece.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purvasingh96.github.io/accessible-maps/" TargetMode="External"/><Relationship Id="rId5" Type="http://schemas.openxmlformats.org/officeDocument/2006/relationships/hyperlink" Target="https://purvasingh96.github.io/accessible-maps/"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google.com/maps/place/2318+Fillmore+St,+San+Francisco,+CA+94115/@37.7911708,-122.436603,17z/data=!3m1!4b1!4m6!3m5!1s0x808580c6749f45b3:0xb38914d1fff6791a!8m2!3d37.7911666!4d-122.4340281!16s%2Fg%2F11bw43g7nx?entry=ttu&amp;g_ep=EgoyMDI1MDgxMy4wIKXMDSoASAFQAw%3D%3D" TargetMode="External"/><Relationship Id="rId10" Type="http://schemas.openxmlformats.org/officeDocument/2006/relationships/hyperlink" Target="https://locators.bankofamerica.com/?q=94115" TargetMode="External"/><Relationship Id="rId13" Type="http://schemas.openxmlformats.org/officeDocument/2006/relationships/hyperlink" Target="https://xrnavigation.io/audiom-covid-map/" TargetMode="External"/><Relationship Id="rId12" Type="http://schemas.openxmlformats.org/officeDocument/2006/relationships/hyperlink" Target="https://www.google.com/maps/place/2318+Fillmore+St,+San+Francisco,+CA+94115/@37.7911708,-122.436603,17z/data=!3m1!4b1!4m6!3m5!1s0x808580c6749f45b3:0xb38914d1fff6791a!8m2!3d37.7911666!4d-122.4340281!16s%2Fg%2F11bw43g7nx?entry=ttu&amp;g_ep=EgoyMDI1MDgxMy4wIKXMDSoASAFQAw%3D%3D" TargetMode="External"/><Relationship Id="rId1" Type="http://schemas.openxmlformats.org/officeDocument/2006/relationships/hyperlink" Target="https://github.com/w3c/wcag/discussions/4047" TargetMode="External"/><Relationship Id="rId2" Type="http://schemas.openxmlformats.org/officeDocument/2006/relationships/hyperlink" Target="https://purvasingh96.github.io/accessible-maps/" TargetMode="External"/><Relationship Id="rId3" Type="http://schemas.openxmlformats.org/officeDocument/2006/relationships/hyperlink" Target="https://purvasingh96.github.io/accessible-maps/" TargetMode="External"/><Relationship Id="rId4" Type="http://schemas.openxmlformats.org/officeDocument/2006/relationships/hyperlink" Target="https://locators.bankofamerica.com/?q=94115" TargetMode="External"/><Relationship Id="rId9" Type="http://schemas.openxmlformats.org/officeDocument/2006/relationships/hyperlink" Target="https://purvasingh96.github.io/accessible-maps/" TargetMode="External"/><Relationship Id="rId15" Type="http://schemas.openxmlformats.org/officeDocument/2006/relationships/hyperlink" Target="https://xrnavigation.io/this-is-a-covid-statistic-map-showing-total-cases-over-washington-oregan-and-idaho/" TargetMode="External"/><Relationship Id="rId14" Type="http://schemas.openxmlformats.org/officeDocument/2006/relationships/hyperlink" Target="https://xrnavigation.io/this-is-a-covid-statistic-map-showing-total-cases-over-washington-oregan-and-idaho/" TargetMode="External"/><Relationship Id="rId16" Type="http://schemas.openxmlformats.org/officeDocument/2006/relationships/drawing" Target="../drawings/drawing3.xml"/><Relationship Id="rId5" Type="http://schemas.openxmlformats.org/officeDocument/2006/relationships/hyperlink" Target="https://www.google.com/maps/place/2318+Fillmore+St,+San+Francisco,+CA+94115/@37.7911708,-122.436603,17z/data=!3m1!4b1!4m6!3m5!1s0x808580c6749f45b3:0xb38914d1fff6791a!8m2!3d37.7911666!4d-122.4340281!16s%2Fg%2F11bw43g7nx?entry=ttu&amp;g_ep=EgoyMDI1MDgxMy4wIKXMDSoASAFQAw%3D%3D" TargetMode="External"/><Relationship Id="rId6" Type="http://schemas.openxmlformats.org/officeDocument/2006/relationships/hyperlink" Target="https://xrnavigation.io/audiom-covid-map/" TargetMode="External"/><Relationship Id="rId7" Type="http://schemas.openxmlformats.org/officeDocument/2006/relationships/hyperlink" Target="https://purvasingh96.github.io/accessible-maps/" TargetMode="External"/><Relationship Id="rId8" Type="http://schemas.openxmlformats.org/officeDocument/2006/relationships/hyperlink" Target="https://maps.app.goo.gl/MucFRU3j8tDZzPux9"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www.google.com/maps/place/2318+Fillmore+St,+San+Francisco,+CA+94115/@37.7911708,-122.436603,17z/data=!3m1!4b1!4m6!3m5!1s0x808580c6749f45b3:0xb38914d1fff6791a!8m2!3d37.7911666!4d-122.4340281!16s%2Fg%2F11bw43g7nx?entry=ttu&amp;g_ep=EgoyMDI1MDgxMy4wIKXMDSoASAFQAw%3D%3D" TargetMode="External"/><Relationship Id="rId10" Type="http://schemas.openxmlformats.org/officeDocument/2006/relationships/hyperlink" Target="https://locators.bankofamerica.com/?q=94115" TargetMode="External"/><Relationship Id="rId13" Type="http://schemas.openxmlformats.org/officeDocument/2006/relationships/hyperlink" Target="https://xrnavigation.io/audiom-covid-map/" TargetMode="External"/><Relationship Id="rId12" Type="http://schemas.openxmlformats.org/officeDocument/2006/relationships/hyperlink" Target="https://www.google.com/maps/place/2318+Fillmore+St,+San+Francisco,+CA+94115/@37.7911708,-122.436603,17z/data=!3m1!4b1!4m6!3m5!1s0x808580c6749f45b3:0xb38914d1fff6791a!8m2!3d37.7911666!4d-122.4340281!16s%2Fg%2F11bw43g7nx?entry=ttu&amp;g_ep=EgoyMDI1MDgxMy4wIKXMDSoASAFQAw%3D%3D" TargetMode="External"/><Relationship Id="rId1" Type="http://schemas.openxmlformats.org/officeDocument/2006/relationships/hyperlink" Target="https://github.com/w3c/wcag/discussions/4047" TargetMode="External"/><Relationship Id="rId2" Type="http://schemas.openxmlformats.org/officeDocument/2006/relationships/hyperlink" Target="https://xrnavigation.github.io/tvm-study/" TargetMode="External"/><Relationship Id="rId3" Type="http://schemas.openxmlformats.org/officeDocument/2006/relationships/hyperlink" Target="https://xrnavigation.github.io/tvm-study/" TargetMode="External"/><Relationship Id="rId4" Type="http://schemas.openxmlformats.org/officeDocument/2006/relationships/hyperlink" Target="https://locators.bankofamerica.com/?q=94115" TargetMode="External"/><Relationship Id="rId9" Type="http://schemas.openxmlformats.org/officeDocument/2006/relationships/hyperlink" Target="https://xrnavigation.github.io/tvm-study/" TargetMode="External"/><Relationship Id="rId15" Type="http://schemas.openxmlformats.org/officeDocument/2006/relationships/hyperlink" Target="https://xrnavigation.io/this-is-a-covid-statistic-map-showing-total-cases-over-washington-oregan-and-idaho/" TargetMode="External"/><Relationship Id="rId14" Type="http://schemas.openxmlformats.org/officeDocument/2006/relationships/hyperlink" Target="https://xrnavigation.io/this-is-a-covid-statistic-map-showing-total-cases-over-washington-oregan-and-idaho/" TargetMode="External"/><Relationship Id="rId16" Type="http://schemas.openxmlformats.org/officeDocument/2006/relationships/drawing" Target="../drawings/drawing4.xml"/><Relationship Id="rId5" Type="http://schemas.openxmlformats.org/officeDocument/2006/relationships/hyperlink" Target="https://www.google.com/maps/place/2318+Fillmore+St,+San+Francisco,+CA+94115/@37.7911708,-122.436603,17z/data=!3m1!4b1!4m6!3m5!1s0x808580c6749f45b3:0xb38914d1fff6791a!8m2!3d37.7911666!4d-122.4340281!16s%2Fg%2F11bw43g7nx?entry=ttu&amp;g_ep=EgoyMDI1MDgxMy4wIKXMDSoASAFQAw%3D%3D" TargetMode="External"/><Relationship Id="rId6" Type="http://schemas.openxmlformats.org/officeDocument/2006/relationships/hyperlink" Target="https://xrnavigation.io/audiom-covid-map/" TargetMode="External"/><Relationship Id="rId7" Type="http://schemas.openxmlformats.org/officeDocument/2006/relationships/hyperlink" Target="https://xrnavigation.github.io/tvm-study/" TargetMode="External"/><Relationship Id="rId8" Type="http://schemas.openxmlformats.org/officeDocument/2006/relationships/hyperlink" Target="https://maps.app.goo.gl/MucFRU3j8tDZzPux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3.0"/>
  </cols>
  <sheetData>
    <row r="1">
      <c r="A1" s="1" t="s">
        <v>0</v>
      </c>
      <c r="B1" s="2" t="s">
        <v>1</v>
      </c>
    </row>
    <row r="2">
      <c r="A2" s="1" t="s">
        <v>2</v>
      </c>
      <c r="B2" s="3" t="s">
        <v>3</v>
      </c>
    </row>
    <row r="3">
      <c r="B3" s="3" t="s">
        <v>4</v>
      </c>
    </row>
    <row r="4">
      <c r="B4" s="3" t="s">
        <v>5</v>
      </c>
    </row>
    <row r="5">
      <c r="A5" s="1"/>
      <c r="B5" s="4"/>
    </row>
    <row r="6">
      <c r="A6" s="1" t="s">
        <v>6</v>
      </c>
      <c r="B6" s="4"/>
    </row>
    <row r="7">
      <c r="A7" s="1" t="s">
        <v>7</v>
      </c>
      <c r="B7" s="3"/>
    </row>
    <row r="8">
      <c r="A8" s="1">
        <v>1.0</v>
      </c>
      <c r="B8" s="3" t="s">
        <v>8</v>
      </c>
    </row>
    <row r="9">
      <c r="A9" s="1">
        <v>2.0</v>
      </c>
      <c r="B9" s="3" t="s">
        <v>9</v>
      </c>
    </row>
    <row r="10">
      <c r="A10" s="1">
        <v>3.0</v>
      </c>
      <c r="B10" s="3" t="s">
        <v>10</v>
      </c>
    </row>
    <row r="12">
      <c r="B12" s="4"/>
    </row>
    <row r="13">
      <c r="A13" s="1" t="s">
        <v>11</v>
      </c>
      <c r="B13" s="4"/>
    </row>
    <row r="14">
      <c r="A14" s="1">
        <v>1.0</v>
      </c>
      <c r="B14" s="3" t="s">
        <v>12</v>
      </c>
    </row>
    <row r="15">
      <c r="A15" s="1">
        <v>2.0</v>
      </c>
      <c r="B15" s="3" t="s">
        <v>13</v>
      </c>
    </row>
    <row r="16">
      <c r="A16" s="1">
        <v>3.0</v>
      </c>
      <c r="B16" s="3" t="s">
        <v>14</v>
      </c>
    </row>
    <row r="17">
      <c r="A17" s="1">
        <v>4.0</v>
      </c>
      <c r="B17" s="3" t="s">
        <v>15</v>
      </c>
    </row>
    <row r="18">
      <c r="A18" s="1">
        <v>5.0</v>
      </c>
      <c r="B18" s="3" t="s">
        <v>16</v>
      </c>
    </row>
    <row r="19">
      <c r="A19" s="1">
        <v>6.0</v>
      </c>
      <c r="B19" s="3" t="s">
        <v>17</v>
      </c>
    </row>
    <row r="20">
      <c r="A20" s="1">
        <v>7.0</v>
      </c>
      <c r="B20" s="3" t="s">
        <v>18</v>
      </c>
    </row>
    <row r="21">
      <c r="A21" s="1">
        <v>8.0</v>
      </c>
      <c r="B21" s="3" t="s">
        <v>19</v>
      </c>
    </row>
    <row r="22">
      <c r="A22" s="1" t="s">
        <v>20</v>
      </c>
      <c r="B22" s="3" t="s">
        <v>21</v>
      </c>
    </row>
    <row r="23">
      <c r="A23" s="1" t="s">
        <v>22</v>
      </c>
      <c r="B23" s="3" t="s">
        <v>23</v>
      </c>
    </row>
    <row r="24">
      <c r="A24" s="1"/>
      <c r="B24" s="4"/>
    </row>
    <row r="25">
      <c r="A25" s="1" t="s">
        <v>24</v>
      </c>
      <c r="B25" s="4"/>
    </row>
    <row r="26">
      <c r="A26" s="1" t="s">
        <v>25</v>
      </c>
      <c r="B26" s="4"/>
    </row>
    <row r="27">
      <c r="A27" s="1">
        <v>1.0</v>
      </c>
      <c r="B27" s="3" t="s">
        <v>26</v>
      </c>
    </row>
    <row r="28">
      <c r="A28" s="1">
        <v>2.0</v>
      </c>
      <c r="B28" s="3" t="s">
        <v>27</v>
      </c>
    </row>
    <row r="29">
      <c r="A29" s="1">
        <v>3.0</v>
      </c>
      <c r="B29" s="3" t="s">
        <v>28</v>
      </c>
    </row>
    <row r="30">
      <c r="A30" s="1">
        <v>4.0</v>
      </c>
      <c r="B30" s="3" t="s">
        <v>29</v>
      </c>
    </row>
    <row r="31">
      <c r="A31" s="1">
        <v>5.0</v>
      </c>
      <c r="B31" s="3" t="s">
        <v>30</v>
      </c>
    </row>
    <row r="32">
      <c r="A32" s="1">
        <v>6.0</v>
      </c>
      <c r="B32" s="3" t="s">
        <v>31</v>
      </c>
    </row>
    <row r="33">
      <c r="A33" s="1">
        <v>7.0</v>
      </c>
      <c r="B33" s="3" t="s">
        <v>32</v>
      </c>
    </row>
    <row r="34">
      <c r="A34" s="1">
        <v>8.0</v>
      </c>
      <c r="B34" s="3" t="s">
        <v>33</v>
      </c>
    </row>
    <row r="35">
      <c r="A35" s="1" t="s">
        <v>34</v>
      </c>
      <c r="B35" s="4"/>
    </row>
    <row r="36">
      <c r="A36" s="1">
        <v>1.0</v>
      </c>
      <c r="B36" s="3" t="s">
        <v>35</v>
      </c>
    </row>
    <row r="37">
      <c r="A37" s="1">
        <v>2.0</v>
      </c>
      <c r="B37" s="3" t="s">
        <v>36</v>
      </c>
    </row>
    <row r="38">
      <c r="A38" s="1">
        <v>3.0</v>
      </c>
      <c r="B38" s="3" t="s">
        <v>37</v>
      </c>
    </row>
    <row r="39">
      <c r="A39" s="1">
        <v>4.0</v>
      </c>
      <c r="B39" s="3" t="s">
        <v>38</v>
      </c>
    </row>
    <row r="40">
      <c r="A40" s="1" t="s">
        <v>39</v>
      </c>
      <c r="B40" s="4"/>
    </row>
    <row r="41">
      <c r="A41" s="1">
        <v>1.0</v>
      </c>
      <c r="B41" s="3" t="s">
        <v>40</v>
      </c>
    </row>
    <row r="42">
      <c r="A42" s="1">
        <v>2.0</v>
      </c>
      <c r="B42" s="3" t="s">
        <v>41</v>
      </c>
    </row>
    <row r="43">
      <c r="A43" s="1">
        <v>3.0</v>
      </c>
      <c r="B43" s="3" t="s">
        <v>42</v>
      </c>
    </row>
    <row r="44">
      <c r="A44" s="1">
        <v>4.0</v>
      </c>
      <c r="B44" s="3" t="s">
        <v>43</v>
      </c>
    </row>
    <row r="45">
      <c r="A45" s="1">
        <v>5.0</v>
      </c>
      <c r="B45" s="3" t="s">
        <v>44</v>
      </c>
    </row>
    <row r="46">
      <c r="A46" s="1"/>
    </row>
    <row r="47">
      <c r="A47" s="1" t="s">
        <v>45</v>
      </c>
    </row>
    <row r="48">
      <c r="A48" s="1">
        <v>1.0</v>
      </c>
      <c r="B48" s="1" t="s">
        <v>46</v>
      </c>
    </row>
    <row r="49">
      <c r="A49" s="1">
        <v>2.0</v>
      </c>
      <c r="B49" s="1" t="s">
        <v>47</v>
      </c>
    </row>
    <row r="50">
      <c r="A50" s="1">
        <v>3.0</v>
      </c>
      <c r="B50" s="1" t="s">
        <v>48</v>
      </c>
    </row>
  </sheetData>
  <hyperlinks>
    <hyperlink display="The paper presenting this paper can be found at:&#10;https://arxiv.org/abs/2512.05310 &#10;&#10;A Google Sheet of this document can be found at:&#10;https://docs.google.com/spreadsheets/d/1led7iIbWMd_6RaMkZYqd27zelX1H18YIlqYR40OkSis/edit?gid=83976719#gid=83976719" location="'Evaluation Template'!A1" ref="B1"/>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88"/>
    <col customWidth="1" min="2" max="2" width="18.38"/>
    <col customWidth="1" min="3" max="3" width="38.25"/>
    <col customWidth="1" min="4" max="5" width="39.88"/>
    <col customWidth="1" min="6" max="6" width="32.0"/>
    <col customWidth="1" min="7" max="7" width="32.25"/>
    <col customWidth="1" min="8" max="8" width="31.13"/>
    <col customWidth="1" min="9" max="9" width="51.88"/>
    <col customWidth="1" min="10" max="10" width="31.38"/>
  </cols>
  <sheetData>
    <row r="1">
      <c r="A1" s="5" t="s">
        <v>49</v>
      </c>
      <c r="B1" s="5" t="s">
        <v>50</v>
      </c>
      <c r="C1" s="5" t="s">
        <v>51</v>
      </c>
      <c r="D1" s="5" t="s">
        <v>52</v>
      </c>
      <c r="E1" s="5"/>
      <c r="F1" s="5"/>
      <c r="G1" s="6"/>
      <c r="H1" s="6"/>
      <c r="I1" s="6"/>
      <c r="J1" s="6"/>
      <c r="K1" s="6"/>
      <c r="L1" s="6"/>
    </row>
    <row r="2">
      <c r="A2" s="5" t="s">
        <v>53</v>
      </c>
      <c r="C2" s="5" t="s">
        <v>54</v>
      </c>
      <c r="D2" s="5" t="s">
        <v>55</v>
      </c>
      <c r="E2" s="7"/>
      <c r="F2" s="5"/>
      <c r="G2" s="6"/>
      <c r="H2" s="8"/>
      <c r="I2" s="8"/>
      <c r="J2" s="9"/>
      <c r="K2" s="6"/>
      <c r="L2" s="6"/>
    </row>
    <row r="3">
      <c r="A3" s="5" t="s">
        <v>56</v>
      </c>
      <c r="C3" s="5" t="s">
        <v>57</v>
      </c>
      <c r="D3" s="10" t="s">
        <v>58</v>
      </c>
      <c r="E3" s="5"/>
      <c r="F3" s="5"/>
      <c r="G3" s="6"/>
      <c r="H3" s="6"/>
      <c r="I3" s="6"/>
      <c r="J3" s="6"/>
      <c r="K3" s="11"/>
      <c r="L3" s="6"/>
    </row>
    <row r="4">
      <c r="A4" s="5" t="s">
        <v>59</v>
      </c>
      <c r="C4" s="5" t="s">
        <v>60</v>
      </c>
      <c r="D4" s="10" t="s">
        <v>61</v>
      </c>
      <c r="E4" s="5"/>
      <c r="F4" s="5"/>
      <c r="G4" s="6"/>
      <c r="H4" s="6"/>
      <c r="I4" s="6"/>
      <c r="J4" s="6"/>
      <c r="K4" s="8"/>
      <c r="L4" s="8"/>
    </row>
    <row r="5">
      <c r="A5" s="5" t="s">
        <v>62</v>
      </c>
      <c r="B5" s="5" t="s">
        <v>63</v>
      </c>
      <c r="C5" s="5" t="s">
        <v>64</v>
      </c>
      <c r="D5" s="5" t="s">
        <v>65</v>
      </c>
      <c r="E5" s="12" t="str">
        <f>IFERROR(__xludf.DUMMYFUNCTION("COUNTIF(ARRAYFORMULA(LOWER(E6:E8)),""yes*"") &amp; ""/"" &amp; COUNTA(FILTER(ARRAYFORMULA(LOWER(E6:E8)),ARRAYFORMULA(LOWER(E6:E8))&lt;&gt;""n/a"")) &amp; "" Items Passed""
"),"0/3 Items Passed")</f>
        <v>0/3 Items Passed</v>
      </c>
      <c r="F5" s="12" t="str">
        <f>IFERROR(__xludf.DUMMYFUNCTION("COUNTIF(ARRAYFORMULA(LOWER(F6:F8)),""yes*"") &amp; ""/"" &amp; COUNTA(FILTER(ARRAYFORMULA(LOWER(F6:F8)),ARRAYFORMULA(LOWER(F6:F8))&lt;&gt;""n/a"")) &amp; "" Items Passed""
"),"0/3 Items Passed")</f>
        <v>0/3 Items Passed</v>
      </c>
      <c r="G5" s="12" t="str">
        <f>IFERROR(__xludf.DUMMYFUNCTION("COUNTIF(ARRAYFORMULA(LOWER(G6:G8)),""yes*"") &amp; ""/"" &amp; COUNTA(FILTER(ARRAYFORMULA(LOWER(G6:G8)),ARRAYFORMULA(LOWER(G6:G8))&lt;&gt;""n/a"")) &amp; "" Items Passed""
"),"0/3 Items Passed")</f>
        <v>0/3 Items Passed</v>
      </c>
      <c r="H5" s="12" t="str">
        <f>IFERROR(__xludf.DUMMYFUNCTION("COUNTIF(ARRAYFORMULA(LOWER(H6:H8)),""yes*"") &amp; ""/"" &amp; COUNTA(FILTER(ARRAYFORMULA(LOWER(H6:H8)),ARRAYFORMULA(LOWER(H6:H8))&lt;&gt;""n/a"")) &amp; "" Items Passed""
"),"0/3 Items Passed")</f>
        <v>0/3 Items Passed</v>
      </c>
      <c r="I5" s="12" t="str">
        <f>IFERROR(__xludf.DUMMYFUNCTION("COUNTIF(ARRAYFORMULA(LOWER(I6:I8)),""yes*"") &amp; ""/"" &amp; COUNTA(FILTER(ARRAYFORMULA(LOWER(I6:I8)),ARRAYFORMULA(LOWER(I6:I8))&lt;&gt;""n/a"")) &amp; "" Items Passed""
"),"0/3 Items Passed")</f>
        <v>0/3 Items Passed</v>
      </c>
      <c r="J5" s="12" t="str">
        <f>IFERROR(__xludf.DUMMYFUNCTION("COUNTIF(ARRAYFORMULA(LOWER(J6:J8)),""yes*"") &amp; ""/"" &amp; COUNTA(FILTER(ARRAYFORMULA(LOWER(J6:J8)),ARRAYFORMULA(LOWER(J6:J8))&lt;&gt;""n/a"")) &amp; "" Items Passed""
"),"0/3 Items Passed")</f>
        <v>0/3 Items Passed</v>
      </c>
      <c r="K5" s="12" t="str">
        <f>IFERROR(__xludf.DUMMYFUNCTION("COUNTIF(ARRAYFORMULA(LOWER(K6:K8)),""yes*"") &amp; ""/"" &amp; COUNTA(FILTER(ARRAYFORMULA(LOWER(K6:K8)),ARRAYFORMULA(LOWER(K6:K8))&lt;&gt;""n/a"")) &amp; "" Items Passed""
"),"0/3 Items Passed")</f>
        <v>0/3 Items Passed</v>
      </c>
      <c r="L5" s="12" t="str">
        <f>IFERROR(__xludf.DUMMYFUNCTION("COUNTIF(ARRAYFORMULA(LOWER(L6:L8)),""yes*"") &amp; ""/"" &amp; COUNTA(FILTER(ARRAYFORMULA(LOWER(L6:L8)),ARRAYFORMULA(LOWER(L6:L8))&lt;&gt;""n/a"")) &amp; "" Items Passed""
"),"0/3 Items Passed")</f>
        <v>0/3 Items Passed</v>
      </c>
    </row>
    <row r="6">
      <c r="A6" s="13"/>
      <c r="B6" s="6" t="s">
        <v>66</v>
      </c>
      <c r="C6" s="5" t="s">
        <v>67</v>
      </c>
      <c r="D6" s="5" t="s">
        <v>68</v>
      </c>
      <c r="E6" s="5"/>
      <c r="F6" s="6"/>
      <c r="G6" s="6"/>
      <c r="H6" s="6"/>
      <c r="I6" s="6"/>
      <c r="J6" s="6"/>
      <c r="K6" s="6"/>
      <c r="L6" s="6"/>
    </row>
    <row r="7">
      <c r="A7" s="5"/>
      <c r="B7" s="5" t="s">
        <v>69</v>
      </c>
      <c r="C7" s="5" t="s">
        <v>70</v>
      </c>
      <c r="D7" s="6" t="s">
        <v>71</v>
      </c>
      <c r="E7" s="6"/>
      <c r="F7" s="5"/>
      <c r="G7" s="5"/>
      <c r="H7" s="5"/>
      <c r="I7" s="5"/>
      <c r="J7" s="6"/>
      <c r="K7" s="6"/>
      <c r="L7" s="6"/>
    </row>
    <row r="8">
      <c r="A8" s="5"/>
      <c r="B8" s="5" t="s">
        <v>72</v>
      </c>
      <c r="C8" s="5" t="s">
        <v>73</v>
      </c>
      <c r="D8" s="6" t="s">
        <v>74</v>
      </c>
      <c r="E8" s="5"/>
      <c r="F8" s="6"/>
      <c r="G8" s="6"/>
      <c r="H8" s="6"/>
      <c r="I8" s="5"/>
      <c r="J8" s="6"/>
      <c r="K8" s="6"/>
      <c r="L8" s="6"/>
    </row>
    <row r="9">
      <c r="A9" s="5" t="s">
        <v>75</v>
      </c>
      <c r="B9" s="5" t="s">
        <v>76</v>
      </c>
      <c r="C9" s="5" t="s">
        <v>77</v>
      </c>
      <c r="D9" s="5" t="s">
        <v>78</v>
      </c>
      <c r="E9" s="14" t="str">
        <f>IFERROR(__xludf.DUMMYFUNCTION("SUM(
  IF(E10&lt;&gt;""n/a"", VALUE(REGEXEXTRACT(E10, ""(\d+)/"")), 0),
  IF(E19&lt;&gt;""n/a"", VALUE(REGEXEXTRACT(E19, ""(\d+)/"")), 0),
  IF(E23&lt;&gt;""n/a"", VALUE(REGEXEXTRACT(E23, ""(\d+)/"")), 0)
)
&amp;
""/""
&amp;
SUM(
  IF(E10&lt;&gt;""n/a"", VALUE(REGEXEXTRACT(E10, ""/(\d+)"&amp;""")), 0),
  IF(E19&lt;&gt;""n/a"", VALUE(REGEXEXTRACT(E19, ""/(\d+)"")), 0),
  IF(E23&lt;&gt;""n/a"", VALUE(REGEXEXTRACT(E23, ""/(\d+)"")), 0)
)
&amp; "" Items Passed""
"),"0/15 Items Passed")</f>
        <v>0/15 Items Passed</v>
      </c>
      <c r="F9" s="14" t="str">
        <f>IFERROR(__xludf.DUMMYFUNCTION("SUM(
  IF(F10&lt;&gt;""n/a"", VALUE(REGEXEXTRACT(F10, ""(\d+)/"")), 0),
  IF(F19&lt;&gt;""n/a"", VALUE(REGEXEXTRACT(F19, ""(\d+)/"")), 0),
  IF(F23&lt;&gt;""n/a"", VALUE(REGEXEXTRACT(F23, ""(\d+)/"")), 0)
)
&amp;
""/""
&amp;
SUM(
  IF(F10&lt;&gt;""n/a"", VALUE(REGEXEXTRACT(F10, ""/(\d+)"&amp;""")), 0),
  IF(F19&lt;&gt;""n/a"", VALUE(REGEXEXTRACT(F19, ""/(\d+)"")), 0),
  IF(F23&lt;&gt;""n/a"", VALUE(REGEXEXTRACT(F23, ""/(\d+)"")), 0)
)
&amp; "" Items Passed""
"),"0/15 Items Passed")</f>
        <v>0/15 Items Passed</v>
      </c>
      <c r="G9" s="14" t="str">
        <f>IFERROR(__xludf.DUMMYFUNCTION("SUM(
  IF(G10&lt;&gt;""n/a"", VALUE(REGEXEXTRACT(G10, ""(\d+)/"")), 0),
  IF(G19&lt;&gt;""n/a"", VALUE(REGEXEXTRACT(G19, ""(\d+)/"")), 0),
  IF(G23&lt;&gt;""n/a"", VALUE(REGEXEXTRACT(G23, ""(\d+)/"")), 0)
)
&amp;
""/""
&amp;
SUM(
  IF(G10&lt;&gt;""n/a"", VALUE(REGEXEXTRACT(G10, ""/(\d+)"&amp;""")), 0),
  IF(G19&lt;&gt;""n/a"", VALUE(REGEXEXTRACT(G19, ""/(\d+)"")), 0),
  IF(G23&lt;&gt;""n/a"", VALUE(REGEXEXTRACT(G23, ""/(\d+)"")), 0)
)
&amp; "" Items Passed""
"),"0/15 Items Passed")</f>
        <v>0/15 Items Passed</v>
      </c>
      <c r="H9" s="14" t="str">
        <f>IFERROR(__xludf.DUMMYFUNCTION("SUM(
  IF(H10&lt;&gt;""n/a"", VALUE(REGEXEXTRACT(H10, ""(\d+)/"")), 0),
  IF(H19&lt;&gt;""n/a"", VALUE(REGEXEXTRACT(H19, ""(\d+)/"")), 0),
  IF(H23&lt;&gt;""n/a"", VALUE(REGEXEXTRACT(H23, ""(\d+)/"")), 0)
)
&amp;
""/""
&amp;
SUM(
  IF(H10&lt;&gt;""n/a"", VALUE(REGEXEXTRACT(H10, ""/(\d+)"&amp;""")), 0),
  IF(H19&lt;&gt;""n/a"", VALUE(REGEXEXTRACT(H19, ""/(\d+)"")), 0),
  IF(H23&lt;&gt;""n/a"", VALUE(REGEXEXTRACT(H23, ""/(\d+)"")), 0)
)
&amp; "" Items Passed""
"),"0/15 Items Passed")</f>
        <v>0/15 Items Passed</v>
      </c>
      <c r="I9" s="14" t="str">
        <f>IFERROR(__xludf.DUMMYFUNCTION("SUM(
  IF(I10&lt;&gt;""n/a"", VALUE(REGEXEXTRACT(I10, ""(\d+)/"")), 0),
  IF(I19&lt;&gt;""n/a"", VALUE(REGEXEXTRACT(I19, ""(\d+)/"")), 0),
  IF(I23&lt;&gt;""n/a"", VALUE(REGEXEXTRACT(I23, ""(\d+)/"")), 0)
)
&amp;
""/""
&amp;
SUM(
  IF(I10&lt;&gt;""n/a"", VALUE(REGEXEXTRACT(I10, ""/(\d+)"&amp;""")), 0),
  IF(I19&lt;&gt;""n/a"", VALUE(REGEXEXTRACT(I19, ""/(\d+)"")), 0),
  IF(I23&lt;&gt;""n/a"", VALUE(REGEXEXTRACT(I23, ""/(\d+)"")), 0)
)
&amp; "" Items Passed""
"),"0/15 Items Passed")</f>
        <v>0/15 Items Passed</v>
      </c>
      <c r="J9" s="14" t="str">
        <f>IFERROR(__xludf.DUMMYFUNCTION("SUM(
  IF(J10&lt;&gt;""n/a"", VALUE(REGEXEXTRACT(J10, ""(\d+)/"")), 0),
  IF(J19&lt;&gt;""n/a"", VALUE(REGEXEXTRACT(J19, ""(\d+)/"")), 0),
  IF(J23&lt;&gt;""n/a"", VALUE(REGEXEXTRACT(J23, ""(\d+)/"")), 0)
)
&amp;
""/""
&amp;
SUM(
  IF(J10&lt;&gt;""n/a"", VALUE(REGEXEXTRACT(J10, ""/(\d+)"&amp;""")), 0),
  IF(J19&lt;&gt;""n/a"", VALUE(REGEXEXTRACT(J19, ""/(\d+)"")), 0),
  IF(J23&lt;&gt;""n/a"", VALUE(REGEXEXTRACT(J23, ""/(\d+)"")), 0)
)
&amp; "" Items Passed""
"),"0/15 Items Passed")</f>
        <v>0/15 Items Passed</v>
      </c>
      <c r="K9" s="14" t="str">
        <f>IFERROR(__xludf.DUMMYFUNCTION("SUM(
  IF(K10&lt;&gt;""n/a"", VALUE(REGEXEXTRACT(K10, ""(\d+)/"")), 0),
  IF(K19&lt;&gt;""n/a"", VALUE(REGEXEXTRACT(K19, ""(\d+)/"")), 0),
  IF(K23&lt;&gt;""n/a"", VALUE(REGEXEXTRACT(K23, ""(\d+)/"")), 0)
)
&amp;
""/""
&amp;
SUM(
  IF(K10&lt;&gt;""n/a"", VALUE(REGEXEXTRACT(K10, ""/(\d+)"&amp;""")), 0),
  IF(K19&lt;&gt;""n/a"", VALUE(REGEXEXTRACT(K19, ""/(\d+)"")), 0),
  IF(K23&lt;&gt;""n/a"", VALUE(REGEXEXTRACT(K23, ""/(\d+)"")), 0)
)
&amp; "" Items Passed""
"),"0/15 Items Passed")</f>
        <v>0/15 Items Passed</v>
      </c>
      <c r="L9" s="14" t="str">
        <f>IFERROR(__xludf.DUMMYFUNCTION("SUM(
  IF(L10&lt;&gt;""n/a"", VALUE(REGEXEXTRACT(L10, ""(\d+)/"")), 0),
  IF(L19&lt;&gt;""n/a"", VALUE(REGEXEXTRACT(L19, ""(\d+)/"")), 0),
  IF(L23&lt;&gt;""n/a"", VALUE(REGEXEXTRACT(L23, ""(\d+)/"")), 0)
)
&amp;
""/""
&amp;
SUM(
  IF(L10&lt;&gt;""n/a"", VALUE(REGEXEXTRACT(L10, ""/(\d+)"&amp;""")), 0),
  IF(L19&lt;&gt;""n/a"", VALUE(REGEXEXTRACT(L19, ""/(\d+)"")), 0),
  IF(L23&lt;&gt;""n/a"", VALUE(REGEXEXTRACT(L23, ""/(\d+)"")), 0)
)
&amp; "" Items Passed""
"),"0/15 Items Passed")</f>
        <v>0/15 Items Passed</v>
      </c>
    </row>
    <row r="10">
      <c r="A10" s="5" t="s">
        <v>79</v>
      </c>
      <c r="B10" s="5" t="s">
        <v>80</v>
      </c>
      <c r="C10" s="5" t="s">
        <v>81</v>
      </c>
      <c r="D10" s="5" t="s">
        <v>82</v>
      </c>
      <c r="E10" s="15" t="str">
        <f>IFERROR(__xludf.DUMMYFUNCTION("COUNTIF(ARRAYFORMULA(LOWER(E11:E18)),""yes*"") &amp; ""/"" &amp; COUNTA(FILTER(ARRAYFORMULA(LOWER(E11:E18)),ARRAYFORMULA(LOWER(E11:E18))&lt;&gt;""n/a"")) &amp; "" Items Passed""
"),"0/8 Items Passed")</f>
        <v>0/8 Items Passed</v>
      </c>
      <c r="F10" s="15" t="str">
        <f>IFERROR(__xludf.DUMMYFUNCTION("COUNTIF(ARRAYFORMULA(LOWER(F11:F18)),""yes*"") &amp; ""/"" &amp; COUNTA(FILTER(ARRAYFORMULA(LOWER(F11:F18)),ARRAYFORMULA(LOWER(F11:F18))&lt;&gt;""n/a"")) &amp; "" Items Passed""
"),"0/8 Items Passed")</f>
        <v>0/8 Items Passed</v>
      </c>
      <c r="G10" s="15" t="str">
        <f>IFERROR(__xludf.DUMMYFUNCTION("COUNTIF(ARRAYFORMULA(LOWER(G11:G18)),""yes*"") &amp; ""/"" &amp; COUNTA(FILTER(ARRAYFORMULA(LOWER(G11:G18)),ARRAYFORMULA(LOWER(G11:G18))&lt;&gt;""n/a"")) &amp; "" Items Passed""
"),"0/8 Items Passed")</f>
        <v>0/8 Items Passed</v>
      </c>
      <c r="H10" s="15" t="str">
        <f>IFERROR(__xludf.DUMMYFUNCTION("COUNTIF(ARRAYFORMULA(LOWER(H11:H18)),""yes*"") &amp; ""/"" &amp; COUNTA(FILTER(ARRAYFORMULA(LOWER(H11:H18)),ARRAYFORMULA(LOWER(H11:H18))&lt;&gt;""n/a"")) &amp; "" Items Passed""
"),"0/8 Items Passed")</f>
        <v>0/8 Items Passed</v>
      </c>
      <c r="I10" s="15" t="str">
        <f>IFERROR(__xludf.DUMMYFUNCTION("COUNTIF(ARRAYFORMULA(LOWER(I11:I18)),""yes*"") &amp; ""/"" &amp; COUNTA(FILTER(ARRAYFORMULA(LOWER(I11:I18)),ARRAYFORMULA(LOWER(I11:I18))&lt;&gt;""n/a"")) &amp; "" Items Passed""
"),"0/8 Items Passed")</f>
        <v>0/8 Items Passed</v>
      </c>
      <c r="J10" s="15" t="str">
        <f>IFERROR(__xludf.DUMMYFUNCTION("COUNTIF(ARRAYFORMULA(LOWER(J11:J18)),""yes*"") &amp; ""/"" &amp; COUNTA(FILTER(ARRAYFORMULA(LOWER(J11:J18)),ARRAYFORMULA(LOWER(J11:J18))&lt;&gt;""n/a"")) &amp; "" Items Passed""
"),"0/8 Items Passed")</f>
        <v>0/8 Items Passed</v>
      </c>
      <c r="K10" s="15" t="str">
        <f>IFERROR(__xludf.DUMMYFUNCTION("COUNTIF(ARRAYFORMULA(LOWER(K11:K18)),""yes*"") &amp; ""/"" &amp; COUNTA(FILTER(ARRAYFORMULA(LOWER(K11:K18)),ARRAYFORMULA(LOWER(K11:K18))&lt;&gt;""n/a"")) &amp; "" Items Passed""
"),"0/8 Items Passed")</f>
        <v>0/8 Items Passed</v>
      </c>
      <c r="L10" s="15" t="str">
        <f>IFERROR(__xludf.DUMMYFUNCTION("COUNTIF(ARRAYFORMULA(LOWER(L11:L18)),""yes*"") &amp; ""/"" &amp; COUNTA(FILTER(ARRAYFORMULA(LOWER(L11:L18)),ARRAYFORMULA(LOWER(L11:L18))&lt;&gt;""n/a"")) &amp; "" Items Passed""
"),"0/8 Items Passed")</f>
        <v>0/8 Items Passed</v>
      </c>
    </row>
    <row r="11">
      <c r="A11" s="16"/>
      <c r="B11" s="5" t="s">
        <v>83</v>
      </c>
      <c r="C11" s="5" t="s">
        <v>84</v>
      </c>
      <c r="D11" s="5" t="s">
        <v>85</v>
      </c>
      <c r="E11" s="5"/>
      <c r="F11" s="5"/>
      <c r="G11" s="5"/>
      <c r="H11" s="5"/>
      <c r="I11" s="5"/>
      <c r="J11" s="6"/>
      <c r="K11" s="6"/>
      <c r="L11" s="6"/>
    </row>
    <row r="12">
      <c r="A12" s="16"/>
      <c r="B12" s="5" t="s">
        <v>86</v>
      </c>
      <c r="C12" s="5" t="s">
        <v>87</v>
      </c>
      <c r="D12" s="5" t="s">
        <v>88</v>
      </c>
      <c r="E12" s="5"/>
      <c r="F12" s="5"/>
      <c r="G12" s="6"/>
      <c r="H12" s="6"/>
      <c r="I12" s="6"/>
      <c r="J12" s="6"/>
      <c r="K12" s="6"/>
      <c r="L12" s="6"/>
    </row>
    <row r="13">
      <c r="A13" s="16"/>
      <c r="B13" s="5" t="s">
        <v>89</v>
      </c>
      <c r="C13" s="5" t="s">
        <v>90</v>
      </c>
      <c r="D13" s="5" t="s">
        <v>91</v>
      </c>
      <c r="E13" s="5"/>
      <c r="F13" s="5"/>
      <c r="G13" s="6"/>
      <c r="H13" s="5"/>
      <c r="I13" s="6"/>
      <c r="J13" s="6"/>
      <c r="K13" s="6"/>
      <c r="L13" s="6"/>
    </row>
    <row r="14">
      <c r="A14" s="16"/>
      <c r="B14" s="5" t="s">
        <v>92</v>
      </c>
      <c r="C14" s="5" t="s">
        <v>93</v>
      </c>
      <c r="D14" s="5" t="s">
        <v>94</v>
      </c>
      <c r="E14" s="5"/>
      <c r="F14" s="5"/>
      <c r="G14" s="5"/>
      <c r="H14" s="5"/>
      <c r="I14" s="5"/>
      <c r="J14" s="6"/>
      <c r="K14" s="6"/>
      <c r="L14" s="6"/>
    </row>
    <row r="15">
      <c r="A15" s="16"/>
      <c r="B15" s="5" t="s">
        <v>95</v>
      </c>
      <c r="C15" s="5" t="s">
        <v>96</v>
      </c>
      <c r="D15" s="5" t="s">
        <v>97</v>
      </c>
      <c r="E15" s="5"/>
      <c r="F15" s="5"/>
      <c r="G15" s="5"/>
      <c r="H15" s="5"/>
      <c r="I15" s="5"/>
      <c r="J15" s="6"/>
      <c r="K15" s="6"/>
      <c r="L15" s="6"/>
    </row>
    <row r="16">
      <c r="A16" s="16"/>
      <c r="B16" s="5" t="s">
        <v>98</v>
      </c>
      <c r="C16" s="5" t="s">
        <v>99</v>
      </c>
      <c r="D16" s="5" t="s">
        <v>100</v>
      </c>
      <c r="E16" s="5"/>
      <c r="F16" s="5"/>
      <c r="G16" s="5"/>
      <c r="H16" s="5"/>
      <c r="I16" s="5"/>
      <c r="J16" s="6"/>
      <c r="K16" s="6"/>
      <c r="L16" s="6"/>
    </row>
    <row r="17">
      <c r="A17" s="16"/>
      <c r="B17" s="5" t="s">
        <v>101</v>
      </c>
      <c r="C17" s="5" t="s">
        <v>102</v>
      </c>
      <c r="D17" s="5" t="s">
        <v>103</v>
      </c>
      <c r="E17" s="5"/>
      <c r="F17" s="5"/>
      <c r="G17" s="5"/>
      <c r="H17" s="5"/>
      <c r="I17" s="5"/>
      <c r="J17" s="5"/>
      <c r="K17" s="5"/>
      <c r="L17" s="5"/>
    </row>
    <row r="18">
      <c r="A18" s="16"/>
      <c r="B18" s="5" t="s">
        <v>104</v>
      </c>
      <c r="C18" s="5" t="s">
        <v>105</v>
      </c>
      <c r="D18" s="5" t="s">
        <v>106</v>
      </c>
      <c r="E18" s="5"/>
      <c r="F18" s="5"/>
      <c r="G18" s="6"/>
      <c r="H18" s="6"/>
      <c r="I18" s="6"/>
      <c r="J18" s="6"/>
      <c r="K18" s="6"/>
      <c r="L18" s="6"/>
    </row>
    <row r="19">
      <c r="A19" s="5" t="s">
        <v>107</v>
      </c>
      <c r="B19" s="5" t="s">
        <v>63</v>
      </c>
      <c r="C19" s="5" t="s">
        <v>108</v>
      </c>
      <c r="D19" s="5" t="s">
        <v>109</v>
      </c>
      <c r="E19" s="15" t="str">
        <f>IFERROR(__xludf.DUMMYFUNCTION("COUNTIF(ARRAYFORMULA(LOWER(E20:E22)),""yes*"") &amp; ""/"" &amp; COUNTA(FILTER(ARRAYFORMULA(LOWER(E20:E22)),ARRAYFORMULA(LOWER(E20:E22))&lt;&gt;""n/a"")) &amp; "" Items Passed""
"),"0/3 Items Passed")</f>
        <v>0/3 Items Passed</v>
      </c>
      <c r="F19" s="15" t="str">
        <f>IFERROR(__xludf.DUMMYFUNCTION("COUNTIF(ARRAYFORMULA(LOWER(F20:F22)),""yes*"") &amp; ""/"" &amp; COUNTA(FILTER(ARRAYFORMULA(LOWER(F20:F22)),ARRAYFORMULA(LOWER(F20:F22))&lt;&gt;""n/a"")) &amp; "" Items Passed""
"),"0/3 Items Passed")</f>
        <v>0/3 Items Passed</v>
      </c>
      <c r="G19" s="15" t="str">
        <f>IFERROR(__xludf.DUMMYFUNCTION("COUNTIF(ARRAYFORMULA(LOWER(G20:G22)),""yes*"") &amp; ""/"" &amp; COUNTA(FILTER(ARRAYFORMULA(LOWER(G20:G22)),ARRAYFORMULA(LOWER(G20:G22))&lt;&gt;""n/a"")) &amp; "" Items Passed""
"),"0/3 Items Passed")</f>
        <v>0/3 Items Passed</v>
      </c>
      <c r="H19" s="15" t="str">
        <f>IFERROR(__xludf.DUMMYFUNCTION("COUNTIF(ARRAYFORMULA(LOWER(H20:H22)),""yes*"") &amp; ""/"" &amp; COUNTA(FILTER(ARRAYFORMULA(LOWER(H20:H22)),ARRAYFORMULA(LOWER(H20:H22))&lt;&gt;""n/a"")) &amp; "" Items Passed""
"),"0/3 Items Passed")</f>
        <v>0/3 Items Passed</v>
      </c>
      <c r="I19" s="15" t="str">
        <f>IFERROR(__xludf.DUMMYFUNCTION("COUNTIF(ARRAYFORMULA(LOWER(I20:I22)),""yes*"") &amp; ""/"" &amp; COUNTA(FILTER(ARRAYFORMULA(LOWER(I20:I22)),ARRAYFORMULA(LOWER(I20:I22))&lt;&gt;""n/a"")) &amp; "" Items Passed""
"),"0/3 Items Passed")</f>
        <v>0/3 Items Passed</v>
      </c>
      <c r="J19" s="15" t="str">
        <f>IFERROR(__xludf.DUMMYFUNCTION("COUNTIF(ARRAYFORMULA(LOWER(J20:J22)),""yes*"") &amp; ""/"" &amp; COUNTA(FILTER(ARRAYFORMULA(LOWER(J20:J22)),ARRAYFORMULA(LOWER(J20:J22))&lt;&gt;""n/a"")) &amp; "" Items Passed""
"),"0/3 Items Passed")</f>
        <v>0/3 Items Passed</v>
      </c>
      <c r="K19" s="15" t="str">
        <f>IFERROR(__xludf.DUMMYFUNCTION("COUNTIF(ARRAYFORMULA(LOWER(K20:K22)),""yes*"") &amp; ""/"" &amp; COUNTA(FILTER(ARRAYFORMULA(LOWER(K20:K22)),ARRAYFORMULA(LOWER(K20:K22))&lt;&gt;""n/a"")) &amp; "" Items Passed""
"),"0/3 Items Passed")</f>
        <v>0/3 Items Passed</v>
      </c>
      <c r="L19" s="15" t="str">
        <f>IFERROR(__xludf.DUMMYFUNCTION("COUNTIF(ARRAYFORMULA(LOWER(L20:L22)),""yes*"") &amp; ""/"" &amp; COUNTA(FILTER(ARRAYFORMULA(LOWER(L20:L22)),ARRAYFORMULA(LOWER(L20:L22))&lt;&gt;""n/a"")) &amp; "" Items Passed""
"),"0/3 Items Passed")</f>
        <v>0/3 Items Passed</v>
      </c>
    </row>
    <row r="20">
      <c r="A20" s="16"/>
      <c r="B20" s="5" t="s">
        <v>110</v>
      </c>
      <c r="C20" s="5" t="s">
        <v>111</v>
      </c>
      <c r="D20" s="5" t="s">
        <v>112</v>
      </c>
      <c r="E20" s="5"/>
      <c r="F20" s="5"/>
      <c r="G20" s="5"/>
      <c r="H20" s="5"/>
      <c r="I20" s="5"/>
      <c r="J20" s="6"/>
      <c r="K20" s="6"/>
      <c r="L20" s="6"/>
    </row>
    <row r="21">
      <c r="A21" s="16"/>
      <c r="B21" s="5" t="s">
        <v>113</v>
      </c>
      <c r="C21" s="5" t="s">
        <v>114</v>
      </c>
      <c r="D21" s="5" t="s">
        <v>115</v>
      </c>
      <c r="E21" s="5"/>
      <c r="F21" s="5"/>
      <c r="G21" s="5"/>
      <c r="H21" s="5"/>
      <c r="I21" s="5"/>
      <c r="J21" s="6"/>
      <c r="K21" s="6"/>
      <c r="L21" s="6"/>
    </row>
    <row r="22">
      <c r="A22" s="16"/>
      <c r="B22" s="5" t="s">
        <v>116</v>
      </c>
      <c r="C22" s="5" t="s">
        <v>117</v>
      </c>
      <c r="D22" s="5" t="s">
        <v>118</v>
      </c>
      <c r="E22" s="5"/>
      <c r="F22" s="5"/>
      <c r="G22" s="5"/>
      <c r="H22" s="5"/>
      <c r="I22" s="5"/>
      <c r="J22" s="6"/>
      <c r="K22" s="6"/>
      <c r="L22" s="6"/>
    </row>
    <row r="23">
      <c r="A23" s="5" t="s">
        <v>119</v>
      </c>
      <c r="B23" s="5" t="s">
        <v>120</v>
      </c>
      <c r="C23" s="5" t="s">
        <v>121</v>
      </c>
      <c r="D23" s="5" t="s">
        <v>122</v>
      </c>
      <c r="E23" s="15" t="str">
        <f>IFERROR(__xludf.DUMMYFUNCTION("COUNTIF(ARRAYFORMULA(LOWER(E24:E27)),""yes*"") &amp; ""/"" &amp; COUNTA(FILTER(ARRAYFORMULA(LOWER(E24:E27)),ARRAYFORMULA(LOWER(E24:E27))&lt;&gt;""n/a"")) &amp; "" Items Passed""
"),"0/4 Items Passed")</f>
        <v>0/4 Items Passed</v>
      </c>
      <c r="F23" s="15" t="str">
        <f>IFERROR(__xludf.DUMMYFUNCTION("COUNTIF(ARRAYFORMULA(LOWER(F24:F27)),""yes*"") &amp; ""/"" &amp; COUNTA(FILTER(ARRAYFORMULA(LOWER(F24:F27)),ARRAYFORMULA(LOWER(F24:F27))&lt;&gt;""n/a"")) &amp; "" Items Passed""
"),"0/4 Items Passed")</f>
        <v>0/4 Items Passed</v>
      </c>
      <c r="G23" s="15" t="str">
        <f>IFERROR(__xludf.DUMMYFUNCTION("COUNTIF(ARRAYFORMULA(LOWER(G24:G27)),""yes*"") &amp; ""/"" &amp; COUNTA(FILTER(ARRAYFORMULA(LOWER(G24:G27)),ARRAYFORMULA(LOWER(G24:G27))&lt;&gt;""n/a"")) &amp; "" Items Passed""
"),"0/4 Items Passed")</f>
        <v>0/4 Items Passed</v>
      </c>
      <c r="H23" s="15" t="str">
        <f>IFERROR(__xludf.DUMMYFUNCTION("COUNTIF(ARRAYFORMULA(LOWER(H24:H27)),""yes*"") &amp; ""/"" &amp; COUNTA(FILTER(ARRAYFORMULA(LOWER(H24:H27)),ARRAYFORMULA(LOWER(H24:H27))&lt;&gt;""n/a"")) &amp; "" Items Passed""
"),"0/4 Items Passed")</f>
        <v>0/4 Items Passed</v>
      </c>
      <c r="I23" s="15" t="str">
        <f>IFERROR(__xludf.DUMMYFUNCTION("COUNTIF(ARRAYFORMULA(LOWER(I24:I27)),""yes*"") &amp; ""/"" &amp; COUNTA(FILTER(ARRAYFORMULA(LOWER(I24:I27)),ARRAYFORMULA(LOWER(I24:I27))&lt;&gt;""n/a"")) &amp; "" Items Passed""
"),"0/4 Items Passed")</f>
        <v>0/4 Items Passed</v>
      </c>
      <c r="J23" s="15" t="str">
        <f>IFERROR(__xludf.DUMMYFUNCTION("COUNTIF(ARRAYFORMULA(LOWER(J24:J27)),""yes*"") &amp; ""/"" &amp; COUNTA(FILTER(ARRAYFORMULA(LOWER(J24:J27)),ARRAYFORMULA(LOWER(J24:J27))&lt;&gt;""n/a"")) &amp; "" Items Passed""
"),"0/4 Items Passed")</f>
        <v>0/4 Items Passed</v>
      </c>
      <c r="K23" s="15" t="str">
        <f>IFERROR(__xludf.DUMMYFUNCTION("COUNTIF(ARRAYFORMULA(LOWER(K24:K27)),""yes*"") &amp; ""/"" &amp; COUNTA(FILTER(ARRAYFORMULA(LOWER(K24:K27)),ARRAYFORMULA(LOWER(K24:K27))&lt;&gt;""n/a"")) &amp; "" Items Passed""
"),"0/4 Items Passed")</f>
        <v>0/4 Items Passed</v>
      </c>
      <c r="L23" s="15" t="str">
        <f>IFERROR(__xludf.DUMMYFUNCTION("COUNTIF(ARRAYFORMULA(LOWER(L24:L27)),""yes*"") &amp; ""/"" &amp; COUNTA(FILTER(ARRAYFORMULA(LOWER(L24:L27)),ARRAYFORMULA(LOWER(L24:L27))&lt;&gt;""n/a"")) &amp; "" Items Passed""
"),"0/4 Items Passed")</f>
        <v>0/4 Items Passed</v>
      </c>
    </row>
    <row r="24">
      <c r="A24" s="16"/>
      <c r="B24" s="5" t="s">
        <v>123</v>
      </c>
      <c r="C24" s="5" t="s">
        <v>124</v>
      </c>
      <c r="D24" s="5" t="s">
        <v>125</v>
      </c>
      <c r="E24" s="5"/>
      <c r="F24" s="5"/>
      <c r="G24" s="6"/>
      <c r="H24" s="5"/>
      <c r="I24" s="5"/>
      <c r="J24" s="6"/>
      <c r="K24" s="6"/>
      <c r="L24" s="6"/>
    </row>
    <row r="25">
      <c r="A25" s="16"/>
      <c r="B25" s="5" t="s">
        <v>126</v>
      </c>
      <c r="C25" s="5" t="s">
        <v>127</v>
      </c>
      <c r="D25" s="5" t="s">
        <v>128</v>
      </c>
      <c r="E25" s="5"/>
      <c r="F25" s="5"/>
      <c r="G25" s="5"/>
      <c r="H25" s="5"/>
      <c r="I25" s="5"/>
      <c r="J25" s="6"/>
      <c r="K25" s="6"/>
      <c r="L25" s="6"/>
    </row>
    <row r="26">
      <c r="A26" s="16"/>
      <c r="B26" s="5" t="s">
        <v>129</v>
      </c>
      <c r="C26" s="6" t="s">
        <v>130</v>
      </c>
      <c r="D26" s="5" t="s">
        <v>131</v>
      </c>
      <c r="E26" s="5"/>
      <c r="F26" s="5"/>
      <c r="G26" s="5"/>
      <c r="H26" s="5"/>
      <c r="I26" s="5"/>
      <c r="J26" s="6"/>
      <c r="K26" s="6"/>
      <c r="L26" s="6"/>
    </row>
    <row r="27">
      <c r="A27" s="16"/>
      <c r="B27" s="5" t="s">
        <v>132</v>
      </c>
      <c r="C27" s="6" t="s">
        <v>133</v>
      </c>
      <c r="D27" s="5" t="s">
        <v>134</v>
      </c>
      <c r="E27" s="5"/>
      <c r="F27" s="5"/>
      <c r="G27" s="5"/>
      <c r="H27" s="5"/>
      <c r="I27" s="5"/>
      <c r="J27" s="6"/>
      <c r="K27" s="6"/>
      <c r="L27" s="6"/>
    </row>
  </sheetData>
  <hyperlinks>
    <hyperlink r:id="rId4" location="/tables/table1" ref="D3"/>
    <hyperlink r:id="rId5" location="/maps/map1" ref="D4"/>
  </hyperlinks>
  <printOptions gridLines="1" horizontalCentered="1"/>
  <pageMargins bottom="0.75" footer="0.0" header="0.0" left="0.7" right="0.7" top="0.75"/>
  <pageSetup fitToHeight="0" cellComments="atEnd" orientation="landscape" pageOrder="overThenDown"/>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88"/>
    <col customWidth="1" min="2" max="2" width="18.38"/>
    <col customWidth="1" min="3" max="3" width="38.25"/>
    <col customWidth="1" min="4" max="5" width="39.88"/>
    <col customWidth="1" min="6" max="6" width="32.0"/>
    <col customWidth="1" min="7" max="7" width="32.25"/>
    <col customWidth="1" min="8" max="8" width="31.13"/>
    <col customWidth="1" min="9" max="9" width="51.88"/>
    <col customWidth="1" min="10" max="10" width="31.38"/>
  </cols>
  <sheetData>
    <row r="1">
      <c r="A1" s="5" t="s">
        <v>49</v>
      </c>
      <c r="B1" s="5" t="s">
        <v>50</v>
      </c>
      <c r="C1" s="5" t="s">
        <v>51</v>
      </c>
      <c r="D1" s="5" t="s">
        <v>52</v>
      </c>
      <c r="E1" s="5" t="s">
        <v>135</v>
      </c>
      <c r="F1" s="5" t="s">
        <v>136</v>
      </c>
      <c r="G1" s="6" t="s">
        <v>137</v>
      </c>
      <c r="H1" s="6" t="s">
        <v>138</v>
      </c>
      <c r="I1" s="6" t="s">
        <v>139</v>
      </c>
      <c r="J1" s="6" t="s">
        <v>140</v>
      </c>
      <c r="K1" s="6" t="s">
        <v>141</v>
      </c>
      <c r="L1" s="6" t="s">
        <v>142</v>
      </c>
    </row>
    <row r="2">
      <c r="A2" s="5" t="s">
        <v>53</v>
      </c>
      <c r="C2" s="5" t="s">
        <v>54</v>
      </c>
      <c r="D2" s="5" t="s">
        <v>55</v>
      </c>
      <c r="E2" s="7" t="s">
        <v>143</v>
      </c>
      <c r="F2" s="5" t="s">
        <v>55</v>
      </c>
      <c r="G2" s="6" t="s">
        <v>144</v>
      </c>
      <c r="H2" s="17" t="s">
        <v>145</v>
      </c>
      <c r="I2" s="8" t="s">
        <v>146</v>
      </c>
      <c r="J2" s="9" t="s">
        <v>147</v>
      </c>
      <c r="K2" s="6" t="s">
        <v>148</v>
      </c>
      <c r="L2" s="6" t="s">
        <v>149</v>
      </c>
    </row>
    <row r="3">
      <c r="A3" s="5" t="s">
        <v>56</v>
      </c>
      <c r="C3" s="5" t="s">
        <v>57</v>
      </c>
      <c r="D3" s="10" t="s">
        <v>58</v>
      </c>
      <c r="E3" s="5" t="s">
        <v>150</v>
      </c>
      <c r="F3" s="10" t="s">
        <v>58</v>
      </c>
      <c r="G3" s="18" t="s">
        <v>151</v>
      </c>
      <c r="H3" s="6" t="s">
        <v>152</v>
      </c>
      <c r="I3" s="18" t="s">
        <v>153</v>
      </c>
      <c r="J3" s="18" t="s">
        <v>154</v>
      </c>
      <c r="K3" s="11" t="s">
        <v>155</v>
      </c>
      <c r="L3" s="6" t="s">
        <v>156</v>
      </c>
    </row>
    <row r="4">
      <c r="A4" s="5" t="s">
        <v>59</v>
      </c>
      <c r="C4" s="5" t="s">
        <v>60</v>
      </c>
      <c r="D4" s="10" t="s">
        <v>61</v>
      </c>
      <c r="E4" s="10" t="s">
        <v>157</v>
      </c>
      <c r="F4" s="10" t="s">
        <v>61</v>
      </c>
      <c r="G4" s="18" t="s">
        <v>151</v>
      </c>
      <c r="H4" s="18" t="s">
        <v>153</v>
      </c>
      <c r="I4" s="18" t="s">
        <v>153</v>
      </c>
      <c r="J4" s="18" t="s">
        <v>154</v>
      </c>
      <c r="K4" s="17" t="s">
        <v>158</v>
      </c>
      <c r="L4" s="17" t="s">
        <v>158</v>
      </c>
    </row>
    <row r="5">
      <c r="A5" s="5" t="s">
        <v>62</v>
      </c>
      <c r="B5" s="5" t="s">
        <v>63</v>
      </c>
      <c r="C5" s="5" t="s">
        <v>64</v>
      </c>
      <c r="D5" s="5" t="s">
        <v>65</v>
      </c>
      <c r="E5" s="12" t="str">
        <f>IFERROR(__xludf.DUMMYFUNCTION("COUNTIF(ARRAYFORMULA(LOWER(E6:E8)),""yes*"") &amp; ""/"" &amp; COUNTA(FILTER(ARRAYFORMULA(LOWER(E6:E8)),ARRAYFORMULA(LOWER(E6:E8))&lt;&gt;""n/a"")) &amp; "" Items Passed""
"),"0/3 Items Passed")</f>
        <v>0/3 Items Passed</v>
      </c>
      <c r="F5" s="12" t="str">
        <f>IFERROR(__xludf.DUMMYFUNCTION("COUNTIF(ARRAYFORMULA(LOWER(F6:F8)),""yes*"") &amp; ""/"" &amp; COUNTA(FILTER(ARRAYFORMULA(LOWER(F6:F8)),ARRAYFORMULA(LOWER(F6:F8))&lt;&gt;""n/a"")) &amp; "" Items Passed""
"),"0/3 Items Passed")</f>
        <v>0/3 Items Passed</v>
      </c>
      <c r="G5" s="12" t="str">
        <f>IFERROR(__xludf.DUMMYFUNCTION("COUNTIF(ARRAYFORMULA(LOWER(G6:G8)),""yes*"") &amp; ""/"" &amp; COUNTA(FILTER(ARRAYFORMULA(LOWER(G6:G8)),ARRAYFORMULA(LOWER(G6:G8))&lt;&gt;""n/a"")) &amp; "" Items Passed""
"),"0/3 Items Passed")</f>
        <v>0/3 Items Passed</v>
      </c>
      <c r="H5" s="12" t="str">
        <f>IFERROR(__xludf.DUMMYFUNCTION("COUNTIF(ARRAYFORMULA(LOWER(H6:H8)),""yes*"") &amp; ""/"" &amp; COUNTA(FILTER(ARRAYFORMULA(LOWER(H6:H8)),ARRAYFORMULA(LOWER(H6:H8))&lt;&gt;""n/a"")) &amp; "" Items Passed""
"),"0/3 Items Passed")</f>
        <v>0/3 Items Passed</v>
      </c>
      <c r="I5" s="12" t="str">
        <f>IFERROR(__xludf.DUMMYFUNCTION("COUNTIF(ARRAYFORMULA(LOWER(I6:I8)),""yes*"") &amp; ""/"" &amp; COUNTA(FILTER(ARRAYFORMULA(LOWER(I6:I8)),ARRAYFORMULA(LOWER(I6:I8))&lt;&gt;""n/a"")) &amp; "" Items Passed""
"),"0/3 Items Passed")</f>
        <v>0/3 Items Passed</v>
      </c>
      <c r="J5" s="12" t="str">
        <f>IFERROR(__xludf.DUMMYFUNCTION("COUNTIF(ARRAYFORMULA(LOWER(J6:J8)),""yes*"") &amp; ""/"" &amp; COUNTA(FILTER(ARRAYFORMULA(LOWER(J6:J8)),ARRAYFORMULA(LOWER(J6:J8))&lt;&gt;""n/a"")) &amp; "" Items Passed""
"),"0/3 Items Passed")</f>
        <v>0/3 Items Passed</v>
      </c>
      <c r="K5" s="12" t="str">
        <f>IFERROR(__xludf.DUMMYFUNCTION("COUNTIF(ARRAYFORMULA(LOWER(K6:K8)),""yes*"") &amp; ""/"" &amp; COUNTA(FILTER(ARRAYFORMULA(LOWER(K6:K8)),ARRAYFORMULA(LOWER(K6:K8))&lt;&gt;""n/a"")) &amp; "" Items Passed""
"),"0/3 Items Passed")</f>
        <v>0/3 Items Passed</v>
      </c>
      <c r="L5" s="12" t="str">
        <f>IFERROR(__xludf.DUMMYFUNCTION("COUNTIF(ARRAYFORMULA(LOWER(L6:L8)),""yes*"") &amp; ""/"" &amp; COUNTA(FILTER(ARRAYFORMULA(LOWER(L6:L8)),ARRAYFORMULA(LOWER(L6:L8))&lt;&gt;""n/a"")) &amp; "" Items Passed""
"),"0/3 Items Passed")</f>
        <v>0/3 Items Passed</v>
      </c>
    </row>
    <row r="6">
      <c r="A6" s="13"/>
      <c r="B6" s="6" t="s">
        <v>66</v>
      </c>
      <c r="C6" s="5" t="s">
        <v>67</v>
      </c>
      <c r="D6" s="5" t="s">
        <v>68</v>
      </c>
      <c r="E6" s="5"/>
      <c r="F6" s="6"/>
      <c r="G6" s="6"/>
      <c r="H6" s="6"/>
      <c r="I6" s="6"/>
      <c r="J6" s="6"/>
      <c r="K6" s="6"/>
      <c r="L6" s="6"/>
    </row>
    <row r="7">
      <c r="A7" s="5"/>
      <c r="B7" s="5" t="s">
        <v>69</v>
      </c>
      <c r="C7" s="5" t="s">
        <v>70</v>
      </c>
      <c r="D7" s="6" t="s">
        <v>71</v>
      </c>
      <c r="E7" s="6"/>
      <c r="F7" s="5"/>
      <c r="G7" s="5"/>
      <c r="H7" s="5"/>
      <c r="I7" s="5"/>
      <c r="J7" s="6"/>
      <c r="K7" s="6"/>
      <c r="L7" s="6"/>
    </row>
    <row r="8">
      <c r="A8" s="5"/>
      <c r="B8" s="5" t="s">
        <v>72</v>
      </c>
      <c r="C8" s="5" t="s">
        <v>73</v>
      </c>
      <c r="D8" s="6" t="s">
        <v>74</v>
      </c>
      <c r="E8" s="5"/>
      <c r="F8" s="6"/>
      <c r="G8" s="6"/>
      <c r="H8" s="6"/>
      <c r="I8" s="5"/>
      <c r="J8" s="6"/>
      <c r="K8" s="6"/>
      <c r="L8" s="6"/>
    </row>
    <row r="9">
      <c r="A9" s="5" t="s">
        <v>75</v>
      </c>
      <c r="B9" s="5" t="s">
        <v>76</v>
      </c>
      <c r="C9" s="5" t="s">
        <v>77</v>
      </c>
      <c r="D9" s="5" t="s">
        <v>78</v>
      </c>
      <c r="E9" s="14" t="str">
        <f>IFERROR(__xludf.DUMMYFUNCTION("SUM(
  IF(E10&lt;&gt;""n/a"", VALUE(REGEXEXTRACT(E10, ""(\d+)/"")), 0),
  IF(E19&lt;&gt;""n/a"", VALUE(REGEXEXTRACT(E19, ""(\d+)/"")), 0),
  IF(E23&lt;&gt;""n/a"", VALUE(REGEXEXTRACT(E23, ""(\d+)/"")), 0)
)
&amp;
""/""
&amp;
SUM(
  IF(E10&lt;&gt;""n/a"", VALUE(REGEXEXTRACT(E10, ""/(\d+)"&amp;""")), 0),
  IF(E19&lt;&gt;""n/a"", VALUE(REGEXEXTRACT(E19, ""/(\d+)"")), 0),
  IF(E23&lt;&gt;""n/a"", VALUE(REGEXEXTRACT(E23, ""/(\d+)"")), 0)
)
&amp; "" Items Passed""
"),"0/15 Items Passed")</f>
        <v>0/15 Items Passed</v>
      </c>
      <c r="F9" s="14" t="str">
        <f>IFERROR(__xludf.DUMMYFUNCTION("SUM(
  IF(F10&lt;&gt;""n/a"", VALUE(REGEXEXTRACT(F10, ""(\d+)/"")), 0),
  IF(F19&lt;&gt;""n/a"", VALUE(REGEXEXTRACT(F19, ""(\d+)/"")), 0),
  IF(F23&lt;&gt;""n/a"", VALUE(REGEXEXTRACT(F23, ""(\d+)/"")), 0)
)
&amp;
""/""
&amp;
SUM(
  IF(F10&lt;&gt;""n/a"", VALUE(REGEXEXTRACT(F10, ""/(\d+)"&amp;""")), 0),
  IF(F19&lt;&gt;""n/a"", VALUE(REGEXEXTRACT(F19, ""/(\d+)"")), 0),
  IF(F23&lt;&gt;""n/a"", VALUE(REGEXEXTRACT(F23, ""/(\d+)"")), 0)
)
&amp; "" Items Passed""
"),"0/15 Items Passed")</f>
        <v>0/15 Items Passed</v>
      </c>
      <c r="G9" s="14" t="str">
        <f>IFERROR(__xludf.DUMMYFUNCTION("SUM(
  IF(G10&lt;&gt;""n/a"", VALUE(REGEXEXTRACT(G10, ""(\d+)/"")), 0),
  IF(G19&lt;&gt;""n/a"", VALUE(REGEXEXTRACT(G19, ""(\d+)/"")), 0),
  IF(G23&lt;&gt;""n/a"", VALUE(REGEXEXTRACT(G23, ""(\d+)/"")), 0)
)
&amp;
""/""
&amp;
SUM(
  IF(G10&lt;&gt;""n/a"", VALUE(REGEXEXTRACT(G10, ""/(\d+)"&amp;""")), 0),
  IF(G19&lt;&gt;""n/a"", VALUE(REGEXEXTRACT(G19, ""/(\d+)"")), 0),
  IF(G23&lt;&gt;""n/a"", VALUE(REGEXEXTRACT(G23, ""/(\d+)"")), 0)
)
&amp; "" Items Passed""
"),"0/15 Items Passed")</f>
        <v>0/15 Items Passed</v>
      </c>
      <c r="H9" s="14" t="str">
        <f>IFERROR(__xludf.DUMMYFUNCTION("SUM(
  IF(H10&lt;&gt;""n/a"", VALUE(REGEXEXTRACT(H10, ""(\d+)/"")), 0),
  IF(H19&lt;&gt;""n/a"", VALUE(REGEXEXTRACT(H19, ""(\d+)/"")), 0),
  IF(H23&lt;&gt;""n/a"", VALUE(REGEXEXTRACT(H23, ""(\d+)/"")), 0)
)
&amp;
""/""
&amp;
SUM(
  IF(H10&lt;&gt;""n/a"", VALUE(REGEXEXTRACT(H10, ""/(\d+)"&amp;""")), 0),
  IF(H19&lt;&gt;""n/a"", VALUE(REGEXEXTRACT(H19, ""/(\d+)"")), 0),
  IF(H23&lt;&gt;""n/a"", VALUE(REGEXEXTRACT(H23, ""/(\d+)"")), 0)
)
&amp; "" Items Passed""
"),"0/15 Items Passed")</f>
        <v>0/15 Items Passed</v>
      </c>
      <c r="I9" s="14" t="str">
        <f>IFERROR(__xludf.DUMMYFUNCTION("SUM(
  IF(I10&lt;&gt;""n/a"", VALUE(REGEXEXTRACT(I10, ""(\d+)/"")), 0),
  IF(I19&lt;&gt;""n/a"", VALUE(REGEXEXTRACT(I19, ""(\d+)/"")), 0),
  IF(I23&lt;&gt;""n/a"", VALUE(REGEXEXTRACT(I23, ""(\d+)/"")), 0)
)
&amp;
""/""
&amp;
SUM(
  IF(I10&lt;&gt;""n/a"", VALUE(REGEXEXTRACT(I10, ""/(\d+)"&amp;""")), 0),
  IF(I19&lt;&gt;""n/a"", VALUE(REGEXEXTRACT(I19, ""/(\d+)"")), 0),
  IF(I23&lt;&gt;""n/a"", VALUE(REGEXEXTRACT(I23, ""/(\d+)"")), 0)
)
&amp; "" Items Passed""
"),"0/15 Items Passed")</f>
        <v>0/15 Items Passed</v>
      </c>
      <c r="J9" s="14" t="str">
        <f>IFERROR(__xludf.DUMMYFUNCTION("SUM(
  IF(J10&lt;&gt;""n/a"", VALUE(REGEXEXTRACT(J10, ""(\d+)/"")), 0),
  IF(J19&lt;&gt;""n/a"", VALUE(REGEXEXTRACT(J19, ""(\d+)/"")), 0),
  IF(J23&lt;&gt;""n/a"", VALUE(REGEXEXTRACT(J23, ""(\d+)/"")), 0)
)
&amp;
""/""
&amp;
SUM(
  IF(J10&lt;&gt;""n/a"", VALUE(REGEXEXTRACT(J10, ""/(\d+)"&amp;""")), 0),
  IF(J19&lt;&gt;""n/a"", VALUE(REGEXEXTRACT(J19, ""/(\d+)"")), 0),
  IF(J23&lt;&gt;""n/a"", VALUE(REGEXEXTRACT(J23, ""/(\d+)"")), 0)
)
&amp; "" Items Passed""
"),"0/15 Items Passed")</f>
        <v>0/15 Items Passed</v>
      </c>
      <c r="K9" s="14" t="str">
        <f>IFERROR(__xludf.DUMMYFUNCTION("SUM(
  IF(K10&lt;&gt;""n/a"", VALUE(REGEXEXTRACT(K10, ""(\d+)/"")), 0),
  IF(K19&lt;&gt;""n/a"", VALUE(REGEXEXTRACT(K19, ""(\d+)/"")), 0),
  IF(K23&lt;&gt;""n/a"", VALUE(REGEXEXTRACT(K23, ""(\d+)/"")), 0)
)
&amp;
""/""
&amp;
SUM(
  IF(K10&lt;&gt;""n/a"", VALUE(REGEXEXTRACT(K10, ""/(\d+)"&amp;""")), 0),
  IF(K19&lt;&gt;""n/a"", VALUE(REGEXEXTRACT(K19, ""/(\d+)"")), 0),
  IF(K23&lt;&gt;""n/a"", VALUE(REGEXEXTRACT(K23, ""/(\d+)"")), 0)
)
&amp; "" Items Passed""
"),"0/15 Items Passed")</f>
        <v>0/15 Items Passed</v>
      </c>
      <c r="L9" s="14" t="str">
        <f>IFERROR(__xludf.DUMMYFUNCTION("SUM(
  IF(L10&lt;&gt;""n/a"", VALUE(REGEXEXTRACT(L10, ""(\d+)/"")), 0),
  IF(L19&lt;&gt;""n/a"", VALUE(REGEXEXTRACT(L19, ""(\d+)/"")), 0),
  IF(L23&lt;&gt;""n/a"", VALUE(REGEXEXTRACT(L23, ""(\d+)/"")), 0)
)
&amp;
""/""
&amp;
SUM(
  IF(L10&lt;&gt;""n/a"", VALUE(REGEXEXTRACT(L10, ""/(\d+)"&amp;""")), 0),
  IF(L19&lt;&gt;""n/a"", VALUE(REGEXEXTRACT(L19, ""/(\d+)"")), 0),
  IF(L23&lt;&gt;""n/a"", VALUE(REGEXEXTRACT(L23, ""/(\d+)"")), 0)
)
&amp; "" Items Passed""
"),"0/15 Items Passed")</f>
        <v>0/15 Items Passed</v>
      </c>
    </row>
    <row r="10">
      <c r="A10" s="5" t="s">
        <v>79</v>
      </c>
      <c r="B10" s="5" t="s">
        <v>80</v>
      </c>
      <c r="C10" s="5" t="s">
        <v>81</v>
      </c>
      <c r="D10" s="5" t="s">
        <v>82</v>
      </c>
      <c r="E10" s="15" t="str">
        <f>IFERROR(__xludf.DUMMYFUNCTION("COUNTIF(ARRAYFORMULA(LOWER(E11:E18)),""yes*"") &amp; ""/"" &amp; COUNTA(FILTER(ARRAYFORMULA(LOWER(E11:E18)),ARRAYFORMULA(LOWER(E11:E18))&lt;&gt;""n/a"")) &amp; "" Items Passed""
"),"0/8 Items Passed")</f>
        <v>0/8 Items Passed</v>
      </c>
      <c r="F10" s="15" t="str">
        <f>IFERROR(__xludf.DUMMYFUNCTION("COUNTIF(ARRAYFORMULA(LOWER(F11:F18)),""yes*"") &amp; ""/"" &amp; COUNTA(FILTER(ARRAYFORMULA(LOWER(F11:F18)),ARRAYFORMULA(LOWER(F11:F18))&lt;&gt;""n/a"")) &amp; "" Items Passed""
"),"0/8 Items Passed")</f>
        <v>0/8 Items Passed</v>
      </c>
      <c r="G10" s="15" t="str">
        <f>IFERROR(__xludf.DUMMYFUNCTION("COUNTIF(ARRAYFORMULA(LOWER(G11:G18)),""yes*"") &amp; ""/"" &amp; COUNTA(FILTER(ARRAYFORMULA(LOWER(G11:G18)),ARRAYFORMULA(LOWER(G11:G18))&lt;&gt;""n/a"")) &amp; "" Items Passed""
"),"0/8 Items Passed")</f>
        <v>0/8 Items Passed</v>
      </c>
      <c r="H10" s="15" t="str">
        <f>IFERROR(__xludf.DUMMYFUNCTION("COUNTIF(ARRAYFORMULA(LOWER(H11:H18)),""yes*"") &amp; ""/"" &amp; COUNTA(FILTER(ARRAYFORMULA(LOWER(H11:H18)),ARRAYFORMULA(LOWER(H11:H18))&lt;&gt;""n/a"")) &amp; "" Items Passed""
"),"0/8 Items Passed")</f>
        <v>0/8 Items Passed</v>
      </c>
      <c r="I10" s="15" t="str">
        <f>IFERROR(__xludf.DUMMYFUNCTION("COUNTIF(ARRAYFORMULA(LOWER(I11:I18)),""yes*"") &amp; ""/"" &amp; COUNTA(FILTER(ARRAYFORMULA(LOWER(I11:I18)),ARRAYFORMULA(LOWER(I11:I18))&lt;&gt;""n/a"")) &amp; "" Items Passed""
"),"0/8 Items Passed")</f>
        <v>0/8 Items Passed</v>
      </c>
      <c r="J10" s="15" t="str">
        <f>IFERROR(__xludf.DUMMYFUNCTION("COUNTIF(ARRAYFORMULA(LOWER(J11:J18)),""yes*"") &amp; ""/"" &amp; COUNTA(FILTER(ARRAYFORMULA(LOWER(J11:J18)),ARRAYFORMULA(LOWER(J11:J18))&lt;&gt;""n/a"")) &amp; "" Items Passed""
"),"0/8 Items Passed")</f>
        <v>0/8 Items Passed</v>
      </c>
      <c r="K10" s="15" t="str">
        <f>IFERROR(__xludf.DUMMYFUNCTION("COUNTIF(ARRAYFORMULA(LOWER(K11:K18)),""yes*"") &amp; ""/"" &amp; COUNTA(FILTER(ARRAYFORMULA(LOWER(K11:K18)),ARRAYFORMULA(LOWER(K11:K18))&lt;&gt;""n/a"")) &amp; "" Items Passed""
"),"0/8 Items Passed")</f>
        <v>0/8 Items Passed</v>
      </c>
      <c r="L10" s="15" t="str">
        <f>IFERROR(__xludf.DUMMYFUNCTION("COUNTIF(ARRAYFORMULA(LOWER(L11:L18)),""yes*"") &amp; ""/"" &amp; COUNTA(FILTER(ARRAYFORMULA(LOWER(L11:L18)),ARRAYFORMULA(LOWER(L11:L18))&lt;&gt;""n/a"")) &amp; "" Items Passed""
"),"0/8 Items Passed")</f>
        <v>0/8 Items Passed</v>
      </c>
    </row>
    <row r="11">
      <c r="A11" s="16"/>
      <c r="B11" s="5" t="s">
        <v>83</v>
      </c>
      <c r="C11" s="5" t="s">
        <v>84</v>
      </c>
      <c r="D11" s="5" t="s">
        <v>85</v>
      </c>
      <c r="E11" s="5"/>
      <c r="F11" s="5"/>
      <c r="G11" s="5"/>
      <c r="H11" s="5"/>
      <c r="I11" s="5"/>
      <c r="J11" s="6"/>
      <c r="K11" s="6"/>
      <c r="L11" s="6"/>
    </row>
    <row r="12">
      <c r="A12" s="16"/>
      <c r="B12" s="5" t="s">
        <v>86</v>
      </c>
      <c r="C12" s="5" t="s">
        <v>87</v>
      </c>
      <c r="D12" s="5" t="s">
        <v>88</v>
      </c>
      <c r="E12" s="5"/>
      <c r="F12" s="5"/>
      <c r="G12" s="6"/>
      <c r="H12" s="6"/>
      <c r="I12" s="6"/>
      <c r="J12" s="6"/>
      <c r="K12" s="6"/>
      <c r="L12" s="6"/>
    </row>
    <row r="13">
      <c r="A13" s="16"/>
      <c r="B13" s="5" t="s">
        <v>89</v>
      </c>
      <c r="C13" s="5" t="s">
        <v>90</v>
      </c>
      <c r="D13" s="5" t="s">
        <v>91</v>
      </c>
      <c r="E13" s="5"/>
      <c r="F13" s="5"/>
      <c r="G13" s="6"/>
      <c r="H13" s="5"/>
      <c r="I13" s="6"/>
      <c r="J13" s="6"/>
      <c r="K13" s="6"/>
      <c r="L13" s="6"/>
    </row>
    <row r="14">
      <c r="A14" s="16"/>
      <c r="B14" s="5" t="s">
        <v>92</v>
      </c>
      <c r="C14" s="5" t="s">
        <v>93</v>
      </c>
      <c r="D14" s="5" t="s">
        <v>94</v>
      </c>
      <c r="E14" s="5"/>
      <c r="F14" s="5"/>
      <c r="G14" s="5"/>
      <c r="H14" s="5"/>
      <c r="I14" s="5"/>
      <c r="J14" s="6"/>
      <c r="K14" s="6"/>
      <c r="L14" s="6"/>
    </row>
    <row r="15">
      <c r="A15" s="16"/>
      <c r="B15" s="5" t="s">
        <v>95</v>
      </c>
      <c r="C15" s="5" t="s">
        <v>96</v>
      </c>
      <c r="D15" s="5" t="s">
        <v>97</v>
      </c>
      <c r="E15" s="5"/>
      <c r="F15" s="5"/>
      <c r="G15" s="5"/>
      <c r="H15" s="5"/>
      <c r="I15" s="5"/>
      <c r="J15" s="6"/>
      <c r="K15" s="6"/>
      <c r="L15" s="6"/>
    </row>
    <row r="16">
      <c r="A16" s="16"/>
      <c r="B16" s="5" t="s">
        <v>98</v>
      </c>
      <c r="C16" s="5" t="s">
        <v>99</v>
      </c>
      <c r="D16" s="5" t="s">
        <v>100</v>
      </c>
      <c r="E16" s="5"/>
      <c r="F16" s="5"/>
      <c r="G16" s="5"/>
      <c r="H16" s="5"/>
      <c r="I16" s="5"/>
      <c r="J16" s="6"/>
      <c r="K16" s="6"/>
      <c r="L16" s="6"/>
    </row>
    <row r="17">
      <c r="A17" s="16"/>
      <c r="B17" s="5" t="s">
        <v>101</v>
      </c>
      <c r="C17" s="5" t="s">
        <v>102</v>
      </c>
      <c r="D17" s="5" t="s">
        <v>103</v>
      </c>
      <c r="E17" s="5"/>
      <c r="F17" s="5"/>
      <c r="G17" s="5"/>
      <c r="H17" s="5"/>
      <c r="I17" s="5"/>
      <c r="J17" s="5"/>
      <c r="K17" s="5"/>
      <c r="L17" s="5"/>
    </row>
    <row r="18">
      <c r="A18" s="16"/>
      <c r="B18" s="5" t="s">
        <v>104</v>
      </c>
      <c r="C18" s="5" t="s">
        <v>105</v>
      </c>
      <c r="D18" s="5" t="s">
        <v>106</v>
      </c>
      <c r="E18" s="5"/>
      <c r="F18" s="5"/>
      <c r="G18" s="6"/>
      <c r="H18" s="6"/>
      <c r="I18" s="6"/>
      <c r="J18" s="6"/>
      <c r="K18" s="6"/>
      <c r="L18" s="6"/>
    </row>
    <row r="19">
      <c r="A19" s="5" t="s">
        <v>107</v>
      </c>
      <c r="B19" s="5" t="s">
        <v>63</v>
      </c>
      <c r="C19" s="5" t="s">
        <v>108</v>
      </c>
      <c r="D19" s="5" t="s">
        <v>109</v>
      </c>
      <c r="E19" s="15" t="str">
        <f>IFERROR(__xludf.DUMMYFUNCTION("COUNTIF(ARRAYFORMULA(LOWER(E20:E22)),""yes*"") &amp; ""/"" &amp; COUNTA(FILTER(ARRAYFORMULA(LOWER(E20:E22)),ARRAYFORMULA(LOWER(E20:E22))&lt;&gt;""n/a"")) &amp; "" Items Passed""
"),"0/3 Items Passed")</f>
        <v>0/3 Items Passed</v>
      </c>
      <c r="F19" s="15" t="str">
        <f>IFERROR(__xludf.DUMMYFUNCTION("COUNTIF(ARRAYFORMULA(LOWER(F20:F22)),""yes*"") &amp; ""/"" &amp; COUNTA(FILTER(ARRAYFORMULA(LOWER(F20:F22)),ARRAYFORMULA(LOWER(F20:F22))&lt;&gt;""n/a"")) &amp; "" Items Passed""
"),"0/3 Items Passed")</f>
        <v>0/3 Items Passed</v>
      </c>
      <c r="G19" s="15" t="str">
        <f>IFERROR(__xludf.DUMMYFUNCTION("COUNTIF(ARRAYFORMULA(LOWER(G20:G22)),""yes*"") &amp; ""/"" &amp; COUNTA(FILTER(ARRAYFORMULA(LOWER(G20:G22)),ARRAYFORMULA(LOWER(G20:G22))&lt;&gt;""n/a"")) &amp; "" Items Passed""
"),"0/3 Items Passed")</f>
        <v>0/3 Items Passed</v>
      </c>
      <c r="H19" s="15" t="str">
        <f>IFERROR(__xludf.DUMMYFUNCTION("COUNTIF(ARRAYFORMULA(LOWER(H20:H22)),""yes*"") &amp; ""/"" &amp; COUNTA(FILTER(ARRAYFORMULA(LOWER(H20:H22)),ARRAYFORMULA(LOWER(H20:H22))&lt;&gt;""n/a"")) &amp; "" Items Passed""
"),"0/3 Items Passed")</f>
        <v>0/3 Items Passed</v>
      </c>
      <c r="I19" s="15" t="str">
        <f>IFERROR(__xludf.DUMMYFUNCTION("COUNTIF(ARRAYFORMULA(LOWER(I20:I22)),""yes*"") &amp; ""/"" &amp; COUNTA(FILTER(ARRAYFORMULA(LOWER(I20:I22)),ARRAYFORMULA(LOWER(I20:I22))&lt;&gt;""n/a"")) &amp; "" Items Passed""
"),"0/3 Items Passed")</f>
        <v>0/3 Items Passed</v>
      </c>
      <c r="J19" s="15" t="str">
        <f>IFERROR(__xludf.DUMMYFUNCTION("COUNTIF(ARRAYFORMULA(LOWER(J20:J22)),""yes*"") &amp; ""/"" &amp; COUNTA(FILTER(ARRAYFORMULA(LOWER(J20:J22)),ARRAYFORMULA(LOWER(J20:J22))&lt;&gt;""n/a"")) &amp; "" Items Passed""
"),"0/3 Items Passed")</f>
        <v>0/3 Items Passed</v>
      </c>
      <c r="K19" s="15" t="str">
        <f>IFERROR(__xludf.DUMMYFUNCTION("COUNTIF(ARRAYFORMULA(LOWER(K20:K22)),""yes*"") &amp; ""/"" &amp; COUNTA(FILTER(ARRAYFORMULA(LOWER(K20:K22)),ARRAYFORMULA(LOWER(K20:K22))&lt;&gt;""n/a"")) &amp; "" Items Passed""
"),"0/3 Items Passed")</f>
        <v>0/3 Items Passed</v>
      </c>
      <c r="L19" s="15" t="str">
        <f>IFERROR(__xludf.DUMMYFUNCTION("COUNTIF(ARRAYFORMULA(LOWER(L20:L22)),""yes*"") &amp; ""/"" &amp; COUNTA(FILTER(ARRAYFORMULA(LOWER(L20:L22)),ARRAYFORMULA(LOWER(L20:L22))&lt;&gt;""n/a"")) &amp; "" Items Passed""
"),"0/3 Items Passed")</f>
        <v>0/3 Items Passed</v>
      </c>
    </row>
    <row r="20">
      <c r="A20" s="16"/>
      <c r="B20" s="5" t="s">
        <v>110</v>
      </c>
      <c r="C20" s="5" t="s">
        <v>111</v>
      </c>
      <c r="D20" s="5" t="s">
        <v>112</v>
      </c>
      <c r="E20" s="5"/>
      <c r="F20" s="5"/>
      <c r="G20" s="5"/>
      <c r="H20" s="5"/>
      <c r="I20" s="5"/>
      <c r="J20" s="6"/>
      <c r="K20" s="6"/>
      <c r="L20" s="6"/>
    </row>
    <row r="21">
      <c r="A21" s="16"/>
      <c r="B21" s="5" t="s">
        <v>113</v>
      </c>
      <c r="C21" s="5" t="s">
        <v>114</v>
      </c>
      <c r="D21" s="5" t="s">
        <v>115</v>
      </c>
      <c r="E21" s="5"/>
      <c r="F21" s="5"/>
      <c r="G21" s="5"/>
      <c r="H21" s="5"/>
      <c r="I21" s="5"/>
      <c r="J21" s="6"/>
      <c r="K21" s="6"/>
      <c r="L21" s="6"/>
    </row>
    <row r="22">
      <c r="A22" s="16"/>
      <c r="B22" s="5" t="s">
        <v>116</v>
      </c>
      <c r="C22" s="5" t="s">
        <v>117</v>
      </c>
      <c r="D22" s="5" t="s">
        <v>118</v>
      </c>
      <c r="E22" s="5"/>
      <c r="F22" s="5"/>
      <c r="G22" s="5"/>
      <c r="H22" s="5"/>
      <c r="I22" s="5"/>
      <c r="J22" s="6"/>
      <c r="K22" s="6"/>
      <c r="L22" s="6"/>
    </row>
    <row r="23">
      <c r="A23" s="5" t="s">
        <v>119</v>
      </c>
      <c r="B23" s="5" t="s">
        <v>120</v>
      </c>
      <c r="C23" s="5" t="s">
        <v>121</v>
      </c>
      <c r="D23" s="5" t="s">
        <v>122</v>
      </c>
      <c r="E23" s="15" t="str">
        <f>IFERROR(__xludf.DUMMYFUNCTION("COUNTIF(ARRAYFORMULA(LOWER(E24:E27)),""yes*"") &amp; ""/"" &amp; COUNTA(FILTER(ARRAYFORMULA(LOWER(E24:E27)),ARRAYFORMULA(LOWER(E24:E27))&lt;&gt;""n/a"")) &amp; "" Items Passed""
"),"0/4 Items Passed")</f>
        <v>0/4 Items Passed</v>
      </c>
      <c r="F23" s="15" t="str">
        <f>IFERROR(__xludf.DUMMYFUNCTION("COUNTIF(ARRAYFORMULA(LOWER(F24:F27)),""yes*"") &amp; ""/"" &amp; COUNTA(FILTER(ARRAYFORMULA(LOWER(F24:F27)),ARRAYFORMULA(LOWER(F24:F27))&lt;&gt;""n/a"")) &amp; "" Items Passed""
"),"0/4 Items Passed")</f>
        <v>0/4 Items Passed</v>
      </c>
      <c r="G23" s="15" t="str">
        <f>IFERROR(__xludf.DUMMYFUNCTION("COUNTIF(ARRAYFORMULA(LOWER(G24:G27)),""yes*"") &amp; ""/"" &amp; COUNTA(FILTER(ARRAYFORMULA(LOWER(G24:G27)),ARRAYFORMULA(LOWER(G24:G27))&lt;&gt;""n/a"")) &amp; "" Items Passed""
"),"0/4 Items Passed")</f>
        <v>0/4 Items Passed</v>
      </c>
      <c r="H23" s="15" t="str">
        <f>IFERROR(__xludf.DUMMYFUNCTION("COUNTIF(ARRAYFORMULA(LOWER(H24:H27)),""yes*"") &amp; ""/"" &amp; COUNTA(FILTER(ARRAYFORMULA(LOWER(H24:H27)),ARRAYFORMULA(LOWER(H24:H27))&lt;&gt;""n/a"")) &amp; "" Items Passed""
"),"0/4 Items Passed")</f>
        <v>0/4 Items Passed</v>
      </c>
      <c r="I23" s="15" t="str">
        <f>IFERROR(__xludf.DUMMYFUNCTION("COUNTIF(ARRAYFORMULA(LOWER(I24:I27)),""yes*"") &amp; ""/"" &amp; COUNTA(FILTER(ARRAYFORMULA(LOWER(I24:I27)),ARRAYFORMULA(LOWER(I24:I27))&lt;&gt;""n/a"")) &amp; "" Items Passed""
"),"0/4 Items Passed")</f>
        <v>0/4 Items Passed</v>
      </c>
      <c r="J23" s="15" t="str">
        <f>IFERROR(__xludf.DUMMYFUNCTION("COUNTIF(ARRAYFORMULA(LOWER(J24:J27)),""yes*"") &amp; ""/"" &amp; COUNTA(FILTER(ARRAYFORMULA(LOWER(J24:J27)),ARRAYFORMULA(LOWER(J24:J27))&lt;&gt;""n/a"")) &amp; "" Items Passed""
"),"0/4 Items Passed")</f>
        <v>0/4 Items Passed</v>
      </c>
      <c r="K23" s="15" t="str">
        <f>IFERROR(__xludf.DUMMYFUNCTION("COUNTIF(ARRAYFORMULA(LOWER(K24:K27)),""yes*"") &amp; ""/"" &amp; COUNTA(FILTER(ARRAYFORMULA(LOWER(K24:K27)),ARRAYFORMULA(LOWER(K24:K27))&lt;&gt;""n/a"")) &amp; "" Items Passed""
"),"0/4 Items Passed")</f>
        <v>0/4 Items Passed</v>
      </c>
      <c r="L23" s="15" t="str">
        <f>IFERROR(__xludf.DUMMYFUNCTION("COUNTIF(ARRAYFORMULA(LOWER(L24:L27)),""yes*"") &amp; ""/"" &amp; COUNTA(FILTER(ARRAYFORMULA(LOWER(L24:L27)),ARRAYFORMULA(LOWER(L24:L27))&lt;&gt;""n/a"")) &amp; "" Items Passed""
"),"0/4 Items Passed")</f>
        <v>0/4 Items Passed</v>
      </c>
    </row>
    <row r="24">
      <c r="A24" s="16"/>
      <c r="B24" s="5" t="s">
        <v>123</v>
      </c>
      <c r="C24" s="5" t="s">
        <v>124</v>
      </c>
      <c r="D24" s="5" t="s">
        <v>125</v>
      </c>
      <c r="E24" s="5"/>
      <c r="F24" s="5"/>
      <c r="G24" s="6"/>
      <c r="H24" s="5"/>
      <c r="I24" s="5"/>
      <c r="J24" s="6"/>
      <c r="K24" s="6"/>
      <c r="L24" s="6"/>
    </row>
    <row r="25">
      <c r="A25" s="16"/>
      <c r="B25" s="5" t="s">
        <v>126</v>
      </c>
      <c r="C25" s="5" t="s">
        <v>127</v>
      </c>
      <c r="D25" s="5" t="s">
        <v>128</v>
      </c>
      <c r="E25" s="5"/>
      <c r="F25" s="5"/>
      <c r="G25" s="5"/>
      <c r="H25" s="5"/>
      <c r="I25" s="5"/>
      <c r="J25" s="6"/>
      <c r="K25" s="6"/>
      <c r="L25" s="6"/>
    </row>
    <row r="26">
      <c r="A26" s="16"/>
      <c r="B26" s="5" t="s">
        <v>129</v>
      </c>
      <c r="C26" s="6" t="s">
        <v>130</v>
      </c>
      <c r="D26" s="5" t="s">
        <v>131</v>
      </c>
      <c r="E26" s="5"/>
      <c r="F26" s="5"/>
      <c r="G26" s="5"/>
      <c r="H26" s="5"/>
      <c r="I26" s="5"/>
      <c r="J26" s="6"/>
      <c r="K26" s="6"/>
      <c r="L26" s="6"/>
    </row>
    <row r="27">
      <c r="A27" s="16"/>
      <c r="B27" s="5" t="s">
        <v>132</v>
      </c>
      <c r="C27" s="6" t="s">
        <v>133</v>
      </c>
      <c r="D27" s="5" t="s">
        <v>134</v>
      </c>
      <c r="E27" s="5"/>
      <c r="F27" s="5"/>
      <c r="G27" s="5"/>
      <c r="H27" s="5"/>
      <c r="I27" s="5"/>
      <c r="J27" s="6"/>
      <c r="K27" s="6"/>
      <c r="L27" s="6"/>
    </row>
  </sheetData>
  <hyperlinks>
    <hyperlink r:id="rId1" ref="H2"/>
    <hyperlink r:id="rId2" location="/tables/table1" ref="D3"/>
    <hyperlink r:id="rId3" location="/tables/table1" ref="F3"/>
    <hyperlink r:id="rId4" ref="G3"/>
    <hyperlink r:id="rId5" ref="I3"/>
    <hyperlink r:id="rId6" ref="J3"/>
    <hyperlink r:id="rId7" location="/maps/map1" ref="D4"/>
    <hyperlink r:id="rId8" ref="E4"/>
    <hyperlink r:id="rId9" location="/maps/map1" ref="F4"/>
    <hyperlink r:id="rId10" ref="G4"/>
    <hyperlink r:id="rId11" ref="H4"/>
    <hyperlink r:id="rId12" ref="I4"/>
    <hyperlink r:id="rId13" ref="J4"/>
    <hyperlink r:id="rId14" ref="K4"/>
    <hyperlink r:id="rId15" ref="L4"/>
  </hyperlinks>
  <printOptions gridLines="1" horizontalCentered="1"/>
  <pageMargins bottom="0.75" footer="0.0" header="0.0" left="0.7" right="0.7" top="0.75"/>
  <pageSetup fitToHeight="0" cellComments="atEnd" orientation="landscape" pageOrder="overThenDown"/>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49</v>
      </c>
      <c r="B1" s="5" t="s">
        <v>50</v>
      </c>
      <c r="C1" s="5" t="s">
        <v>51</v>
      </c>
      <c r="D1" s="5" t="s">
        <v>52</v>
      </c>
      <c r="E1" s="5" t="s">
        <v>135</v>
      </c>
      <c r="F1" s="5" t="s">
        <v>136</v>
      </c>
      <c r="G1" s="6" t="s">
        <v>137</v>
      </c>
      <c r="H1" s="6" t="s">
        <v>138</v>
      </c>
      <c r="I1" s="6" t="s">
        <v>159</v>
      </c>
      <c r="J1" s="6" t="s">
        <v>160</v>
      </c>
      <c r="K1" s="6" t="s">
        <v>161</v>
      </c>
      <c r="L1" s="6" t="s">
        <v>142</v>
      </c>
    </row>
    <row r="2">
      <c r="A2" s="5" t="s">
        <v>53</v>
      </c>
      <c r="C2" s="5" t="s">
        <v>54</v>
      </c>
      <c r="D2" s="5" t="s">
        <v>55</v>
      </c>
      <c r="E2" s="7" t="s">
        <v>143</v>
      </c>
      <c r="F2" s="5" t="s">
        <v>55</v>
      </c>
      <c r="G2" s="6" t="s">
        <v>144</v>
      </c>
      <c r="H2" s="17" t="s">
        <v>162</v>
      </c>
      <c r="I2" s="8" t="s">
        <v>146</v>
      </c>
      <c r="J2" s="9" t="s">
        <v>147</v>
      </c>
      <c r="K2" s="6" t="s">
        <v>148</v>
      </c>
      <c r="L2" s="6" t="s">
        <v>149</v>
      </c>
    </row>
    <row r="3">
      <c r="A3" s="5" t="s">
        <v>56</v>
      </c>
      <c r="C3" s="5" t="s">
        <v>57</v>
      </c>
      <c r="D3" s="10" t="s">
        <v>163</v>
      </c>
      <c r="E3" s="5" t="s">
        <v>150</v>
      </c>
      <c r="F3" s="10" t="s">
        <v>163</v>
      </c>
      <c r="G3" s="18" t="s">
        <v>151</v>
      </c>
      <c r="H3" s="6" t="s">
        <v>152</v>
      </c>
      <c r="I3" s="18" t="s">
        <v>153</v>
      </c>
      <c r="J3" s="18" t="s">
        <v>154</v>
      </c>
      <c r="K3" s="11" t="s">
        <v>155</v>
      </c>
      <c r="L3" s="6" t="s">
        <v>156</v>
      </c>
    </row>
    <row r="4">
      <c r="A4" s="5" t="s">
        <v>59</v>
      </c>
      <c r="C4" s="5" t="s">
        <v>60</v>
      </c>
      <c r="D4" s="10" t="s">
        <v>164</v>
      </c>
      <c r="E4" s="10" t="s">
        <v>157</v>
      </c>
      <c r="F4" s="10" t="s">
        <v>164</v>
      </c>
      <c r="G4" s="18" t="s">
        <v>151</v>
      </c>
      <c r="H4" s="18" t="s">
        <v>153</v>
      </c>
      <c r="I4" s="18" t="s">
        <v>153</v>
      </c>
      <c r="J4" s="18" t="s">
        <v>154</v>
      </c>
      <c r="K4" s="17" t="s">
        <v>158</v>
      </c>
      <c r="L4" s="17" t="s">
        <v>158</v>
      </c>
    </row>
    <row r="5">
      <c r="A5" s="5" t="s">
        <v>62</v>
      </c>
      <c r="B5" s="5" t="s">
        <v>63</v>
      </c>
      <c r="C5" s="5" t="s">
        <v>64</v>
      </c>
      <c r="D5" s="5" t="s">
        <v>65</v>
      </c>
      <c r="E5" s="12" t="str">
        <f>IFERROR(__xludf.DUMMYFUNCTION("COUNTIF(ARRAYFORMULA(LOWER(E6:E8)),""yes*"") &amp; ""/"" &amp; COUNTA(FILTER(ARRAYFORMULA(LOWER(E6:E8)),ARRAYFORMULA(LOWER(E6:E8))&lt;&gt;""n/a"")) &amp; "" Items Passed""
"),"1/3 Items Passed")</f>
        <v>1/3 Items Passed</v>
      </c>
      <c r="F5" s="12" t="str">
        <f>IFERROR(__xludf.DUMMYFUNCTION("COUNTIF(ARRAYFORMULA(LOWER(F6:F8)),""yes*"") &amp; ""/"" &amp; COUNTA(FILTER(ARRAYFORMULA(LOWER(F6:F8)),ARRAYFORMULA(LOWER(F6:F8))&lt;&gt;""n/a"")) &amp; "" Items Passed""
"),"1/3 Items Passed")</f>
        <v>1/3 Items Passed</v>
      </c>
      <c r="G5" s="12" t="str">
        <f>IFERROR(__xludf.DUMMYFUNCTION("COUNTIF(ARRAYFORMULA(LOWER(G6:G8)),""yes*"") &amp; ""/"" &amp; COUNTA(FILTER(ARRAYFORMULA(LOWER(G6:G8)),ARRAYFORMULA(LOWER(G6:G8))&lt;&gt;""n/a"")) &amp; "" Items Passed""
"),"0/3 Items Passed")</f>
        <v>0/3 Items Passed</v>
      </c>
      <c r="H5" s="12" t="str">
        <f>IFERROR(__xludf.DUMMYFUNCTION("COUNTIF(ARRAYFORMULA(LOWER(H6:H8)),""yes*"") &amp; ""/"" &amp; COUNTA(FILTER(ARRAYFORMULA(LOWER(H6:H8)),ARRAYFORMULA(LOWER(H6:H8))&lt;&gt;""n/a"")) &amp; "" Items Passed""
"),"0/3 Items Passed")</f>
        <v>0/3 Items Passed</v>
      </c>
      <c r="I5" s="12" t="str">
        <f>IFERROR(__xludf.DUMMYFUNCTION("COUNTIF(ARRAYFORMULA(LOWER(I6:I8)),""yes*"") &amp; ""/"" &amp; COUNTA(FILTER(ARRAYFORMULA(LOWER(I6:I8)),ARRAYFORMULA(LOWER(I6:I8))&lt;&gt;""n/a"")) &amp; "" Items Passed""
"),"0/3 Items Passed")</f>
        <v>0/3 Items Passed</v>
      </c>
      <c r="J5" s="12" t="str">
        <f>IFERROR(__xludf.DUMMYFUNCTION("COUNTIF(ARRAYFORMULA(LOWER(J6:J8)),""yes*"") &amp; ""/"" &amp; COUNTA(FILTER(ARRAYFORMULA(LOWER(J6:J8)),ARRAYFORMULA(LOWER(J6:J8))&lt;&gt;""n/a"")) &amp; "" Items Passed""
"),"3/3 Items Passed")</f>
        <v>3/3 Items Passed</v>
      </c>
      <c r="K5" s="12" t="str">
        <f>IFERROR(__xludf.DUMMYFUNCTION("COUNTIF(ARRAYFORMULA(LOWER(K6:K8)),""yes*"") &amp; ""/"" &amp; COUNTA(FILTER(ARRAYFORMULA(LOWER(K6:K8)),ARRAYFORMULA(LOWER(K6:K8))&lt;&gt;""n/a"")) &amp; "" Items Passed""
"),"3/3 Items Passed")</f>
        <v>3/3 Items Passed</v>
      </c>
      <c r="L5" s="12" t="str">
        <f>IFERROR(__xludf.DUMMYFUNCTION("COUNTIF(ARRAYFORMULA(LOWER(L6:L8)),""yes*"") &amp; ""/"" &amp; COUNTA(FILTER(ARRAYFORMULA(LOWER(L6:L8)),ARRAYFORMULA(LOWER(L6:L8))&lt;&gt;""n/a"")) &amp; "" Items Passed""
"),"3/3 Items Passed")</f>
        <v>3/3 Items Passed</v>
      </c>
    </row>
    <row r="6">
      <c r="A6" s="13"/>
      <c r="B6" s="6" t="s">
        <v>66</v>
      </c>
      <c r="C6" s="5" t="s">
        <v>67</v>
      </c>
      <c r="D6" s="5" t="s">
        <v>68</v>
      </c>
      <c r="E6" s="19" t="s">
        <v>165</v>
      </c>
      <c r="F6" s="19" t="s">
        <v>166</v>
      </c>
      <c r="G6" s="19" t="s">
        <v>167</v>
      </c>
      <c r="H6" s="19" t="s">
        <v>168</v>
      </c>
      <c r="I6" s="19" t="s">
        <v>167</v>
      </c>
      <c r="J6" s="19" t="s">
        <v>169</v>
      </c>
      <c r="K6" s="19" t="s">
        <v>170</v>
      </c>
      <c r="L6" s="19" t="s">
        <v>171</v>
      </c>
    </row>
    <row r="7">
      <c r="A7" s="5"/>
      <c r="B7" s="5" t="s">
        <v>69</v>
      </c>
      <c r="C7" s="5" t="s">
        <v>70</v>
      </c>
      <c r="D7" s="6" t="s">
        <v>71</v>
      </c>
      <c r="E7" s="19" t="s">
        <v>172</v>
      </c>
      <c r="F7" s="19" t="s">
        <v>173</v>
      </c>
      <c r="G7" s="19" t="s">
        <v>173</v>
      </c>
      <c r="H7" s="19" t="s">
        <v>173</v>
      </c>
      <c r="I7" s="19" t="s">
        <v>173</v>
      </c>
      <c r="J7" s="19" t="s">
        <v>174</v>
      </c>
      <c r="K7" s="19" t="s">
        <v>175</v>
      </c>
      <c r="L7" s="19" t="s">
        <v>176</v>
      </c>
    </row>
    <row r="8">
      <c r="A8" s="5"/>
      <c r="B8" s="5" t="s">
        <v>72</v>
      </c>
      <c r="C8" s="5" t="s">
        <v>73</v>
      </c>
      <c r="D8" s="6" t="s">
        <v>74</v>
      </c>
      <c r="E8" s="19" t="s">
        <v>177</v>
      </c>
      <c r="F8" s="19" t="s">
        <v>178</v>
      </c>
      <c r="G8" s="19" t="s">
        <v>178</v>
      </c>
      <c r="H8" s="19" t="s">
        <v>178</v>
      </c>
      <c r="I8" s="19" t="s">
        <v>179</v>
      </c>
      <c r="J8" s="19" t="s">
        <v>180</v>
      </c>
      <c r="K8" s="19" t="s">
        <v>181</v>
      </c>
      <c r="L8" s="19" t="s">
        <v>181</v>
      </c>
    </row>
    <row r="9">
      <c r="A9" s="5" t="s">
        <v>75</v>
      </c>
      <c r="B9" s="5" t="s">
        <v>76</v>
      </c>
      <c r="C9" s="5" t="s">
        <v>77</v>
      </c>
      <c r="D9" s="5" t="s">
        <v>78</v>
      </c>
      <c r="E9" s="20" t="str">
        <f>IFERROR(__xludf.DUMMYFUNCTION("SUM(
  IF(E10&lt;&gt;""n/a"", VALUE(REGEXEXTRACT(E10, ""(\d+)/"")), 0),
  IF(E19&lt;&gt;""n/a"", VALUE(REGEXEXTRACT(E19, ""(\d+)/"")), 0),
  IF(E23&lt;&gt;""n/a"", VALUE(REGEXEXTRACT(E23, ""(\d+)/"")), 0)
)
&amp;
""/""
&amp;
SUM(
  IF(E10&lt;&gt;""n/a"", VALUE(REGEXEXTRACT(E10, ""/(\d+)"&amp;""")), 0),
  IF(E19&lt;&gt;""n/a"", VALUE(REGEXEXTRACT(E19, ""/(\d+)"")), 0),
  IF(E23&lt;&gt;""n/a"", VALUE(REGEXEXTRACT(E23, ""/(\d+)"")), 0)
)
&amp; "" Items Passed""
"),"3/13 Items Passed")</f>
        <v>3/13 Items Passed</v>
      </c>
      <c r="F9" s="20" t="str">
        <f>IFERROR(__xludf.DUMMYFUNCTION("SUM(
  IF(F10&lt;&gt;""n/a"", VALUE(REGEXEXTRACT(F10, ""(\d+)/"")), 0),
  IF(F19&lt;&gt;""n/a"", VALUE(REGEXEXTRACT(F19, ""(\d+)/"")), 0),
  IF(F23&lt;&gt;""n/a"", VALUE(REGEXEXTRACT(F23, ""(\d+)/"")), 0)
)
&amp;
""/""
&amp;
SUM(
  IF(F10&lt;&gt;""n/a"", VALUE(REGEXEXTRACT(F10, ""/(\d+)"&amp;""")), 0),
  IF(F19&lt;&gt;""n/a"", VALUE(REGEXEXTRACT(F19, ""/(\d+)"")), 0),
  IF(F23&lt;&gt;""n/a"", VALUE(REGEXEXTRACT(F23, ""/(\d+)"")), 0)
)
&amp; "" Items Passed""
"),"2/10 Items Passed")</f>
        <v>2/10 Items Passed</v>
      </c>
      <c r="G9" s="20" t="str">
        <f>IFERROR(__xludf.DUMMYFUNCTION("SUM(
  IF(G10&lt;&gt;""n/a"", VALUE(REGEXEXTRACT(G10, ""(\d+)/"")), 0),
  IF(G19&lt;&gt;""n/a"", VALUE(REGEXEXTRACT(G19, ""(\d+)/"")), 0),
  IF(G23&lt;&gt;""n/a"", VALUE(REGEXEXTRACT(G23, ""(\d+)/"")), 0)
)
&amp;
""/""
&amp;
SUM(
  IF(G10&lt;&gt;""n/a"", VALUE(REGEXEXTRACT(G10, ""/(\d+)"&amp;""")), 0),
  IF(G19&lt;&gt;""n/a"", VALUE(REGEXEXTRACT(G19, ""/(\d+)"")), 0),
  IF(G23&lt;&gt;""n/a"", VALUE(REGEXEXTRACT(G23, ""/(\d+)"")), 0)
)
&amp; "" Items Passed""
"),"2/10 Items Passed")</f>
        <v>2/10 Items Passed</v>
      </c>
      <c r="H9" s="20" t="str">
        <f>IFERROR(__xludf.DUMMYFUNCTION("SUM(
  IF(H10&lt;&gt;""n/a"", VALUE(REGEXEXTRACT(H10, ""(\d+)/"")), 0),
  IF(H19&lt;&gt;""n/a"", VALUE(REGEXEXTRACT(H19, ""(\d+)/"")), 0),
  IF(H23&lt;&gt;""n/a"", VALUE(REGEXEXTRACT(H23, ""(\d+)/"")), 0)
)
&amp;
""/""
&amp;
SUM(
  IF(H10&lt;&gt;""n/a"", VALUE(REGEXEXTRACT(H10, ""/(\d+)"&amp;""")), 0),
  IF(H19&lt;&gt;""n/a"", VALUE(REGEXEXTRACT(H19, ""/(\d+)"")), 0),
  IF(H23&lt;&gt;""n/a"", VALUE(REGEXEXTRACT(H23, ""/(\d+)"")), 0)
)
&amp; "" Items Passed""
"),"2/10 Items Passed")</f>
        <v>2/10 Items Passed</v>
      </c>
      <c r="I9" s="20" t="str">
        <f>IFERROR(__xludf.DUMMYFUNCTION("SUM(
  IF(I10&lt;&gt;""n/a"", VALUE(REGEXEXTRACT(I10, ""(\d+)/"")), 0),
  IF(I19&lt;&gt;""n/a"", VALUE(REGEXEXTRACT(I19, ""(\d+)/"")), 0),
  IF(I23&lt;&gt;""n/a"", VALUE(REGEXEXTRACT(I23, ""(\d+)/"")), 0)
)
&amp;
""/""
&amp;
SUM(
  IF(I10&lt;&gt;""n/a"", VALUE(REGEXEXTRACT(I10, ""/(\d+)"&amp;""")), 0),
  IF(I19&lt;&gt;""n/a"", VALUE(REGEXEXTRACT(I19, ""/(\d+)"")), 0),
  IF(I23&lt;&gt;""n/a"", VALUE(REGEXEXTRACT(I23, ""/(\d+)"")), 0)
)
&amp; "" Items Passed""
"),"3/10 Items Passed")</f>
        <v>3/10 Items Passed</v>
      </c>
      <c r="J9" s="20" t="str">
        <f>IFERROR(__xludf.DUMMYFUNCTION("SUM(
  IF(J10&lt;&gt;""n/a"", VALUE(REGEXEXTRACT(J10, ""(\d+)/"")), 0),
  IF(J19&lt;&gt;""n/a"", VALUE(REGEXEXTRACT(J19, ""(\d+)/"")), 0),
  IF(J23&lt;&gt;""n/a"", VALUE(REGEXEXTRACT(J23, ""(\d+)/"")), 0)
)
&amp;
""/""
&amp;
SUM(
  IF(J10&lt;&gt;""n/a"", VALUE(REGEXEXTRACT(J10, ""/(\d+)"&amp;""")), 0),
  IF(J19&lt;&gt;""n/a"", VALUE(REGEXEXTRACT(J19, ""/(\d+)"")), 0),
  IF(J23&lt;&gt;""n/a"", VALUE(REGEXEXTRACT(J23, ""/(\d+)"")), 0)
)
&amp; "" Items Passed""
"),"10/10 Items Passed")</f>
        <v>10/10 Items Passed</v>
      </c>
      <c r="K9" s="20" t="str">
        <f>IFERROR(__xludf.DUMMYFUNCTION("SUM(
  IF(K10&lt;&gt;""n/a"", VALUE(REGEXEXTRACT(K10, ""(\d+)/"")), 0),
  IF(K19&lt;&gt;""n/a"", VALUE(REGEXEXTRACT(K19, ""(\d+)/"")), 0),
  IF(K23&lt;&gt;""n/a"", VALUE(REGEXEXTRACT(K23, ""(\d+)/"")), 0)
)
&amp;
""/""
&amp;
SUM(
  IF(K10&lt;&gt;""n/a"", VALUE(REGEXEXTRACT(K10, ""/(\d+)"&amp;""")), 0),
  IF(K19&lt;&gt;""n/a"", VALUE(REGEXEXTRACT(K19, ""/(\d+)"")), 0),
  IF(K23&lt;&gt;""n/a"", VALUE(REGEXEXTRACT(K23, ""/(\d+)"")), 0)
)
&amp; "" Items Passed""
"),"10/10 Items Passed")</f>
        <v>10/10 Items Passed</v>
      </c>
      <c r="L9" s="20" t="str">
        <f>IFERROR(__xludf.DUMMYFUNCTION("SUM(
  IF(L10&lt;&gt;""n/a"", VALUE(REGEXEXTRACT(L10, ""(\d+)/"")), 0),
  IF(L19&lt;&gt;""n/a"", VALUE(REGEXEXTRACT(L19, ""(\d+)/"")), 0),
  IF(L23&lt;&gt;""n/a"", VALUE(REGEXEXTRACT(L23, ""(\d+)/"")), 0)
)
&amp;
""/""
&amp;
SUM(
  IF(L10&lt;&gt;""n/a"", VALUE(REGEXEXTRACT(L10, ""/(\d+)"&amp;""")), 0),
  IF(L19&lt;&gt;""n/a"", VALUE(REGEXEXTRACT(L19, ""/(\d+)"")), 0),
  IF(L23&lt;&gt;""n/a"", VALUE(REGEXEXTRACT(L23, ""/(\d+)"")), 0)
)
&amp; "" Items Passed""
"),"10/10 Items Passed")</f>
        <v>10/10 Items Passed</v>
      </c>
    </row>
    <row r="10">
      <c r="A10" s="5" t="s">
        <v>79</v>
      </c>
      <c r="B10" s="5" t="s">
        <v>80</v>
      </c>
      <c r="C10" s="5" t="s">
        <v>81</v>
      </c>
      <c r="D10" s="5" t="s">
        <v>82</v>
      </c>
      <c r="E10" s="19" t="str">
        <f>IFERROR(__xludf.DUMMYFUNCTION("COUNTIF(ARRAYFORMULA(LOWER(E11:E18)),""yes*"") &amp; ""/"" &amp; COUNTA(FILTER(ARRAYFORMULA(LOWER(E11:E18)),ARRAYFORMULA(LOWER(E11:E18))&lt;&gt;""n/a"")) &amp; "" Items Passed""
"),"3/6 Items Passed")</f>
        <v>3/6 Items Passed</v>
      </c>
      <c r="F10" s="19" t="str">
        <f>IFERROR(__xludf.DUMMYFUNCTION("COUNTIF(ARRAYFORMULA(LOWER(F11:F18)),""yes*"") &amp; ""/"" &amp; COUNTA(FILTER(ARRAYFORMULA(LOWER(F11:F18)),ARRAYFORMULA(LOWER(F11:F18))&lt;&gt;""n/a"")) &amp; "" Items Passed""
"),"2/6 Items Passed")</f>
        <v>2/6 Items Passed</v>
      </c>
      <c r="G10" s="19" t="str">
        <f>IFERROR(__xludf.DUMMYFUNCTION("COUNTIF(ARRAYFORMULA(LOWER(G11:G18)),""yes*"") &amp; ""/"" &amp; COUNTA(FILTER(ARRAYFORMULA(LOWER(G11:G18)),ARRAYFORMULA(LOWER(G11:G18))&lt;&gt;""n/a"")) &amp; "" Items Passed""
"),"2/6 Items Passed")</f>
        <v>2/6 Items Passed</v>
      </c>
      <c r="H10" s="19" t="str">
        <f>IFERROR(__xludf.DUMMYFUNCTION("COUNTIF(ARRAYFORMULA(LOWER(H11:H18)),""yes*"") &amp; ""/"" &amp; COUNTA(FILTER(ARRAYFORMULA(LOWER(H11:H18)),ARRAYFORMULA(LOWER(H11:H18))&lt;&gt;""n/a"")) &amp; "" Items Passed""
"),"2/6 Items Passed")</f>
        <v>2/6 Items Passed</v>
      </c>
      <c r="I10" s="19" t="str">
        <f>IFERROR(__xludf.DUMMYFUNCTION("COUNTIF(ARRAYFORMULA(LOWER(I11:I18)),""yes*"") &amp; ""/"" &amp; COUNTA(FILTER(ARRAYFORMULA(LOWER(I11:I18)),ARRAYFORMULA(LOWER(I11:I18))&lt;&gt;""n/a"")) &amp; "" Items Passed""
"),"3/6 Items Passed")</f>
        <v>3/6 Items Passed</v>
      </c>
      <c r="J10" s="19" t="str">
        <f>IFERROR(__xludf.DUMMYFUNCTION("COUNTIF(ARRAYFORMULA(LOWER(J11:J18)),""yes*"") &amp; ""/"" &amp; COUNTA(FILTER(ARRAYFORMULA(LOWER(J11:J18)),ARRAYFORMULA(LOWER(J11:J18))&lt;&gt;""n/a"")) &amp; "" Items Passed""
"),"6/6 Items Passed")</f>
        <v>6/6 Items Passed</v>
      </c>
      <c r="K10" s="19" t="str">
        <f>IFERROR(__xludf.DUMMYFUNCTION("COUNTIF(ARRAYFORMULA(LOWER(K11:K18)),""yes*"") &amp; ""/"" &amp; COUNTA(FILTER(ARRAYFORMULA(LOWER(K11:K18)),ARRAYFORMULA(LOWER(K11:K18))&lt;&gt;""n/a"")) &amp; "" Items Passed""
"),"7/7 Items Passed")</f>
        <v>7/7 Items Passed</v>
      </c>
      <c r="L10" s="19" t="str">
        <f>IFERROR(__xludf.DUMMYFUNCTION("COUNTIF(ARRAYFORMULA(LOWER(L11:L18)),""yes*"") &amp; ""/"" &amp; COUNTA(FILTER(ARRAYFORMULA(LOWER(L11:L18)),ARRAYFORMULA(LOWER(L11:L18))&lt;&gt;""n/a"")) &amp; "" Items Passed""
"),"7/7 Items Passed")</f>
        <v>7/7 Items Passed</v>
      </c>
    </row>
    <row r="11">
      <c r="A11" s="16"/>
      <c r="B11" s="5" t="s">
        <v>83</v>
      </c>
      <c r="C11" s="5" t="s">
        <v>84</v>
      </c>
      <c r="D11" s="5" t="s">
        <v>85</v>
      </c>
      <c r="E11" s="19" t="s">
        <v>182</v>
      </c>
      <c r="F11" s="19" t="s">
        <v>182</v>
      </c>
      <c r="G11" s="19" t="s">
        <v>182</v>
      </c>
      <c r="H11" s="19" t="s">
        <v>182</v>
      </c>
      <c r="I11" s="19" t="s">
        <v>182</v>
      </c>
      <c r="J11" s="19" t="s">
        <v>183</v>
      </c>
      <c r="K11" s="21" t="s">
        <v>184</v>
      </c>
      <c r="L11" s="21" t="s">
        <v>185</v>
      </c>
    </row>
    <row r="12">
      <c r="A12" s="16"/>
      <c r="B12" s="5" t="s">
        <v>86</v>
      </c>
      <c r="C12" s="5" t="s">
        <v>87</v>
      </c>
      <c r="D12" s="5" t="s">
        <v>88</v>
      </c>
      <c r="E12" s="19" t="s">
        <v>186</v>
      </c>
      <c r="F12" s="19" t="s">
        <v>186</v>
      </c>
      <c r="G12" s="19" t="s">
        <v>186</v>
      </c>
      <c r="H12" s="19" t="s">
        <v>186</v>
      </c>
      <c r="I12" s="19" t="s">
        <v>186</v>
      </c>
      <c r="J12" s="19" t="s">
        <v>186</v>
      </c>
      <c r="K12" s="21" t="s">
        <v>187</v>
      </c>
      <c r="L12" s="21" t="s">
        <v>188</v>
      </c>
    </row>
    <row r="13">
      <c r="A13" s="16"/>
      <c r="B13" s="5" t="s">
        <v>89</v>
      </c>
      <c r="C13" s="5" t="s">
        <v>90</v>
      </c>
      <c r="D13" s="5" t="s">
        <v>91</v>
      </c>
      <c r="E13" s="19" t="s">
        <v>189</v>
      </c>
      <c r="F13" s="19" t="s">
        <v>109</v>
      </c>
      <c r="G13" s="19" t="s">
        <v>189</v>
      </c>
      <c r="H13" s="19" t="s">
        <v>189</v>
      </c>
      <c r="I13" s="19" t="s">
        <v>189</v>
      </c>
      <c r="J13" s="19" t="s">
        <v>189</v>
      </c>
      <c r="K13" s="21" t="s">
        <v>190</v>
      </c>
      <c r="L13" s="21" t="s">
        <v>191</v>
      </c>
    </row>
    <row r="14">
      <c r="A14" s="16"/>
      <c r="B14" s="5" t="s">
        <v>92</v>
      </c>
      <c r="C14" s="5" t="s">
        <v>93</v>
      </c>
      <c r="D14" s="5" t="s">
        <v>94</v>
      </c>
      <c r="E14" s="19" t="s">
        <v>192</v>
      </c>
      <c r="F14" s="19" t="s">
        <v>192</v>
      </c>
      <c r="G14" s="19" t="s">
        <v>192</v>
      </c>
      <c r="H14" s="19" t="s">
        <v>192</v>
      </c>
      <c r="I14" s="19" t="s">
        <v>192</v>
      </c>
      <c r="J14" s="19" t="s">
        <v>193</v>
      </c>
      <c r="K14" s="21" t="s">
        <v>194</v>
      </c>
      <c r="L14" s="21" t="s">
        <v>195</v>
      </c>
    </row>
    <row r="15">
      <c r="A15" s="16"/>
      <c r="B15" s="5" t="s">
        <v>95</v>
      </c>
      <c r="C15" s="5" t="s">
        <v>96</v>
      </c>
      <c r="D15" s="5" t="s">
        <v>97</v>
      </c>
      <c r="E15" s="19" t="s">
        <v>196</v>
      </c>
      <c r="F15" s="19" t="s">
        <v>197</v>
      </c>
      <c r="G15" s="19" t="s">
        <v>197</v>
      </c>
      <c r="H15" s="19" t="s">
        <v>197</v>
      </c>
      <c r="I15" s="19" t="s">
        <v>198</v>
      </c>
      <c r="J15" s="19" t="s">
        <v>199</v>
      </c>
      <c r="K15" s="21" t="s">
        <v>200</v>
      </c>
      <c r="L15" s="21" t="s">
        <v>201</v>
      </c>
    </row>
    <row r="16">
      <c r="A16" s="16"/>
      <c r="B16" s="5" t="s">
        <v>98</v>
      </c>
      <c r="C16" s="5" t="s">
        <v>99</v>
      </c>
      <c r="D16" s="5" t="s">
        <v>100</v>
      </c>
      <c r="E16" s="19" t="s">
        <v>202</v>
      </c>
      <c r="F16" s="19" t="s">
        <v>203</v>
      </c>
      <c r="G16" s="19" t="s">
        <v>203</v>
      </c>
      <c r="H16" s="19" t="s">
        <v>203</v>
      </c>
      <c r="I16" s="19" t="s">
        <v>203</v>
      </c>
      <c r="J16" s="19" t="s">
        <v>204</v>
      </c>
      <c r="K16" s="21" t="s">
        <v>205</v>
      </c>
      <c r="L16" s="21" t="s">
        <v>206</v>
      </c>
    </row>
    <row r="17">
      <c r="A17" s="16"/>
      <c r="B17" s="5" t="s">
        <v>101</v>
      </c>
      <c r="C17" s="5" t="s">
        <v>102</v>
      </c>
      <c r="D17" s="5" t="s">
        <v>103</v>
      </c>
      <c r="E17" s="19" t="s">
        <v>109</v>
      </c>
      <c r="F17" s="19" t="s">
        <v>109</v>
      </c>
      <c r="G17" s="19" t="s">
        <v>109</v>
      </c>
      <c r="H17" s="19" t="s">
        <v>109</v>
      </c>
      <c r="I17" s="19" t="s">
        <v>109</v>
      </c>
      <c r="J17" s="19" t="s">
        <v>109</v>
      </c>
      <c r="K17" s="21" t="s">
        <v>109</v>
      </c>
      <c r="L17" s="21" t="s">
        <v>109</v>
      </c>
    </row>
    <row r="18">
      <c r="A18" s="16"/>
      <c r="B18" s="5" t="s">
        <v>104</v>
      </c>
      <c r="C18" s="5" t="s">
        <v>105</v>
      </c>
      <c r="D18" s="5" t="s">
        <v>106</v>
      </c>
      <c r="E18" s="19" t="s">
        <v>109</v>
      </c>
      <c r="F18" s="19" t="s">
        <v>207</v>
      </c>
      <c r="G18" s="19" t="s">
        <v>109</v>
      </c>
      <c r="H18" s="19" t="s">
        <v>109</v>
      </c>
      <c r="I18" s="19" t="s">
        <v>109</v>
      </c>
      <c r="J18" s="19" t="s">
        <v>109</v>
      </c>
      <c r="K18" s="21" t="s">
        <v>208</v>
      </c>
      <c r="L18" s="21" t="s">
        <v>209</v>
      </c>
    </row>
    <row r="19">
      <c r="A19" s="5" t="s">
        <v>107</v>
      </c>
      <c r="B19" s="5" t="s">
        <v>63</v>
      </c>
      <c r="C19" s="5" t="s">
        <v>108</v>
      </c>
      <c r="D19" s="5" t="s">
        <v>109</v>
      </c>
      <c r="E19" s="19" t="str">
        <f>IFERROR(__xludf.DUMMYFUNCTION("COUNTIF(ARRAYFORMULA(LOWER(E20:E22)),""yes*"") &amp; ""/"" &amp; COUNTA(FILTER(ARRAYFORMULA(LOWER(E20:E22)),ARRAYFORMULA(LOWER(E20:E22))&lt;&gt;""n/a"")) &amp; "" Items Passed""
"),"0/3 Items Passed")</f>
        <v>0/3 Items Passed</v>
      </c>
      <c r="F19" s="19" t="s">
        <v>109</v>
      </c>
      <c r="G19" s="19" t="s">
        <v>109</v>
      </c>
      <c r="H19" s="19" t="s">
        <v>109</v>
      </c>
      <c r="I19" s="19" t="s">
        <v>109</v>
      </c>
      <c r="J19" s="19" t="s">
        <v>109</v>
      </c>
      <c r="K19" s="19" t="s">
        <v>109</v>
      </c>
      <c r="L19" s="19" t="s">
        <v>109</v>
      </c>
    </row>
    <row r="20">
      <c r="A20" s="16"/>
      <c r="B20" s="5" t="s">
        <v>110</v>
      </c>
      <c r="C20" s="5" t="s">
        <v>111</v>
      </c>
      <c r="D20" s="5" t="s">
        <v>112</v>
      </c>
      <c r="E20" s="1" t="s">
        <v>210</v>
      </c>
      <c r="F20" s="19" t="s">
        <v>109</v>
      </c>
      <c r="G20" s="19" t="s">
        <v>109</v>
      </c>
      <c r="H20" s="19" t="s">
        <v>109</v>
      </c>
      <c r="I20" s="19" t="s">
        <v>109</v>
      </c>
      <c r="J20" s="19" t="s">
        <v>109</v>
      </c>
      <c r="K20" s="19" t="s">
        <v>109</v>
      </c>
      <c r="L20" s="19" t="s">
        <v>109</v>
      </c>
    </row>
    <row r="21">
      <c r="A21" s="16"/>
      <c r="B21" s="5" t="s">
        <v>113</v>
      </c>
      <c r="C21" s="5" t="s">
        <v>114</v>
      </c>
      <c r="D21" s="5" t="s">
        <v>115</v>
      </c>
      <c r="E21" s="1" t="s">
        <v>210</v>
      </c>
      <c r="F21" s="19" t="s">
        <v>109</v>
      </c>
      <c r="G21" s="19" t="s">
        <v>109</v>
      </c>
      <c r="H21" s="19" t="s">
        <v>109</v>
      </c>
      <c r="I21" s="19" t="s">
        <v>109</v>
      </c>
      <c r="J21" s="19" t="s">
        <v>109</v>
      </c>
      <c r="K21" s="19" t="s">
        <v>109</v>
      </c>
      <c r="L21" s="19" t="s">
        <v>109</v>
      </c>
    </row>
    <row r="22">
      <c r="A22" s="16"/>
      <c r="B22" s="5" t="s">
        <v>116</v>
      </c>
      <c r="C22" s="5" t="s">
        <v>117</v>
      </c>
      <c r="D22" s="5" t="s">
        <v>118</v>
      </c>
      <c r="E22" s="1" t="s">
        <v>210</v>
      </c>
      <c r="F22" s="19" t="s">
        <v>109</v>
      </c>
      <c r="G22" s="19" t="s">
        <v>109</v>
      </c>
      <c r="H22" s="19" t="s">
        <v>109</v>
      </c>
      <c r="I22" s="19" t="s">
        <v>109</v>
      </c>
      <c r="J22" s="19" t="s">
        <v>109</v>
      </c>
      <c r="K22" s="19" t="s">
        <v>109</v>
      </c>
      <c r="L22" s="19" t="s">
        <v>109</v>
      </c>
    </row>
    <row r="23">
      <c r="A23" s="5" t="s">
        <v>119</v>
      </c>
      <c r="B23" s="5" t="s">
        <v>120</v>
      </c>
      <c r="C23" s="5" t="s">
        <v>121</v>
      </c>
      <c r="D23" s="5" t="s">
        <v>122</v>
      </c>
      <c r="E23" s="19" t="str">
        <f>IFERROR(__xludf.DUMMYFUNCTION("COUNTIF(ARRAYFORMULA(LOWER(E24:E27)),""yes*"") &amp; ""/"" &amp; COUNTA(FILTER(ARRAYFORMULA(LOWER(E24:E27)),ARRAYFORMULA(LOWER(E24:E27))&lt;&gt;""n/a"")) &amp; "" Items Passed""
"),"0/4 Items Passed")</f>
        <v>0/4 Items Passed</v>
      </c>
      <c r="F23" s="19" t="str">
        <f>IFERROR(__xludf.DUMMYFUNCTION("COUNTIF(ARRAYFORMULA(LOWER(F24:F27)),""yes*"") &amp; ""/"" &amp; COUNTA(FILTER(ARRAYFORMULA(LOWER(F24:F27)),ARRAYFORMULA(LOWER(F24:F27))&lt;&gt;""n/a"")) &amp; "" Items Passed""
"),"0/4 Items Passed")</f>
        <v>0/4 Items Passed</v>
      </c>
      <c r="G23" s="19" t="str">
        <f>IFERROR(__xludf.DUMMYFUNCTION("COUNTIF(ARRAYFORMULA(LOWER(G24:G27)),""yes*"") &amp; ""/"" &amp; COUNTA(FILTER(ARRAYFORMULA(LOWER(G24:G27)),ARRAYFORMULA(LOWER(G24:G27))&lt;&gt;""n/a"")) &amp; "" Items Passed""
"),"0/4 Items Passed")</f>
        <v>0/4 Items Passed</v>
      </c>
      <c r="H23" s="19" t="str">
        <f>IFERROR(__xludf.DUMMYFUNCTION("COUNTIF(ARRAYFORMULA(LOWER(H24:H27)),""yes*"") &amp; ""/"" &amp; COUNTA(FILTER(ARRAYFORMULA(LOWER(H24:H27)),ARRAYFORMULA(LOWER(H24:H27))&lt;&gt;""n/a"")) &amp; "" Items Passed""
"),"0/4 Items Passed")</f>
        <v>0/4 Items Passed</v>
      </c>
      <c r="I23" s="19" t="str">
        <f>IFERROR(__xludf.DUMMYFUNCTION("COUNTIF(ARRAYFORMULA(LOWER(I24:I27)),""yes*"") &amp; ""/"" &amp; COUNTA(FILTER(ARRAYFORMULA(LOWER(I24:I27)),ARRAYFORMULA(LOWER(I24:I27))&lt;&gt;""n/a"")) &amp; "" Items Passed""
"),"0/4 Items Passed")</f>
        <v>0/4 Items Passed</v>
      </c>
      <c r="J23" s="19" t="str">
        <f>IFERROR(__xludf.DUMMYFUNCTION("COUNTIF(ARRAYFORMULA(LOWER(J24:J27)),""yes*"") &amp; ""/"" &amp; COUNTA(FILTER(ARRAYFORMULA(LOWER(J24:J27)),ARRAYFORMULA(LOWER(J24:J27))&lt;&gt;""n/a"")) &amp; "" Items Passed""
"),"4/4 Items Passed")</f>
        <v>4/4 Items Passed</v>
      </c>
      <c r="K23" s="19" t="str">
        <f>IFERROR(__xludf.DUMMYFUNCTION("COUNTIF(ARRAYFORMULA(LOWER(K24:K27)),""yes*"") &amp; ""/"" &amp; COUNTA(FILTER(ARRAYFORMULA(LOWER(K24:K27)),ARRAYFORMULA(LOWER(K24:K27))&lt;&gt;""n/a"")) &amp; "" Items Passed""
"),"3/3 Items Passed")</f>
        <v>3/3 Items Passed</v>
      </c>
      <c r="L23" s="19" t="str">
        <f>IFERROR(__xludf.DUMMYFUNCTION("COUNTIF(ARRAYFORMULA(LOWER(L24:L27)),""yes*"") &amp; ""/"" &amp; COUNTA(FILTER(ARRAYFORMULA(LOWER(L24:L27)),ARRAYFORMULA(LOWER(L24:L27))&lt;&gt;""n/a"")) &amp; "" Items Passed""
"),"3/3 Items Passed")</f>
        <v>3/3 Items Passed</v>
      </c>
    </row>
    <row r="24">
      <c r="A24" s="16"/>
      <c r="B24" s="5" t="s">
        <v>123</v>
      </c>
      <c r="C24" s="5" t="s">
        <v>124</v>
      </c>
      <c r="D24" s="5" t="s">
        <v>125</v>
      </c>
      <c r="E24" s="19" t="s">
        <v>211</v>
      </c>
      <c r="F24" s="19" t="s">
        <v>212</v>
      </c>
      <c r="G24" s="19" t="s">
        <v>211</v>
      </c>
      <c r="H24" s="19" t="s">
        <v>211</v>
      </c>
      <c r="I24" s="19" t="s">
        <v>211</v>
      </c>
      <c r="J24" s="21" t="s">
        <v>213</v>
      </c>
      <c r="K24" s="21" t="s">
        <v>214</v>
      </c>
      <c r="L24" s="21" t="s">
        <v>215</v>
      </c>
    </row>
    <row r="25">
      <c r="A25" s="16"/>
      <c r="B25" s="5" t="s">
        <v>126</v>
      </c>
      <c r="C25" s="5" t="s">
        <v>127</v>
      </c>
      <c r="D25" s="5" t="s">
        <v>128</v>
      </c>
      <c r="E25" s="19" t="s">
        <v>211</v>
      </c>
      <c r="F25" s="19" t="s">
        <v>216</v>
      </c>
      <c r="G25" s="19" t="s">
        <v>211</v>
      </c>
      <c r="H25" s="19" t="s">
        <v>211</v>
      </c>
      <c r="I25" s="19" t="s">
        <v>211</v>
      </c>
      <c r="J25" s="21" t="s">
        <v>217</v>
      </c>
      <c r="K25" s="21" t="s">
        <v>218</v>
      </c>
      <c r="L25" s="21" t="s">
        <v>219</v>
      </c>
    </row>
    <row r="26">
      <c r="A26" s="16"/>
      <c r="B26" s="5" t="s">
        <v>129</v>
      </c>
      <c r="C26" s="6" t="s">
        <v>130</v>
      </c>
      <c r="D26" s="5" t="s">
        <v>131</v>
      </c>
      <c r="E26" s="19" t="s">
        <v>211</v>
      </c>
      <c r="F26" s="19" t="s">
        <v>220</v>
      </c>
      <c r="G26" s="19" t="s">
        <v>211</v>
      </c>
      <c r="H26" s="19" t="s">
        <v>211</v>
      </c>
      <c r="I26" s="19" t="s">
        <v>211</v>
      </c>
      <c r="J26" s="21" t="s">
        <v>221</v>
      </c>
      <c r="K26" s="21" t="s">
        <v>109</v>
      </c>
      <c r="L26" s="21" t="s">
        <v>109</v>
      </c>
    </row>
    <row r="27">
      <c r="A27" s="16"/>
      <c r="B27" s="5" t="s">
        <v>132</v>
      </c>
      <c r="C27" s="6" t="s">
        <v>133</v>
      </c>
      <c r="D27" s="5" t="s">
        <v>134</v>
      </c>
      <c r="E27" s="19" t="s">
        <v>211</v>
      </c>
      <c r="F27" s="19" t="s">
        <v>222</v>
      </c>
      <c r="G27" s="19" t="s">
        <v>211</v>
      </c>
      <c r="H27" s="19" t="s">
        <v>211</v>
      </c>
      <c r="I27" s="19" t="s">
        <v>211</v>
      </c>
      <c r="J27" s="21" t="s">
        <v>223</v>
      </c>
      <c r="K27" s="21" t="s">
        <v>224</v>
      </c>
      <c r="L27" s="21" t="s">
        <v>225</v>
      </c>
    </row>
  </sheetData>
  <hyperlinks>
    <hyperlink r:id="rId1" ref="H2"/>
    <hyperlink r:id="rId2" location="/tables/table1" ref="D3"/>
    <hyperlink r:id="rId3" location="/tables/table1" ref="F3"/>
    <hyperlink r:id="rId4" ref="G3"/>
    <hyperlink r:id="rId5" ref="I3"/>
    <hyperlink r:id="rId6" ref="J3"/>
    <hyperlink r:id="rId7" location="/maps/map1" ref="D4"/>
    <hyperlink r:id="rId8" ref="E4"/>
    <hyperlink r:id="rId9" location="/maps/map1" ref="F4"/>
    <hyperlink r:id="rId10" ref="G4"/>
    <hyperlink r:id="rId11" ref="H4"/>
    <hyperlink r:id="rId12" ref="I4"/>
    <hyperlink r:id="rId13" ref="J4"/>
    <hyperlink r:id="rId14" ref="K4"/>
    <hyperlink r:id="rId15" ref="L4"/>
  </hyperlinks>
  <drawing r:id="rId16"/>
</worksheet>
</file>